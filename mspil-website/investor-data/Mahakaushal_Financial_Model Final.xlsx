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ropbox\Sparrow Advisory - Himanshu\Mahakaushal\Financial Models for Valuation\"/>
    </mc:Choice>
  </mc:AlternateContent>
  <xr:revisionPtr revIDLastSave="0" documentId="13_ncr:1_{F505417C-52AF-4B38-8279-3E7F2DD9DF48}" xr6:coauthVersionLast="47" xr6:coauthVersionMax="47" xr10:uidLastSave="{00000000-0000-0000-0000-000000000000}"/>
  <bookViews>
    <workbookView xWindow="-108" yWindow="-108" windowWidth="23256" windowHeight="12456" xr2:uid="{B2E29A9C-D9A2-475D-B83D-61689824BF76}"/>
  </bookViews>
  <sheets>
    <sheet name="Index" sheetId="15" r:id="rId1"/>
    <sheet name="Summary" sheetId="13" r:id="rId2"/>
    <sheet name="PL" sheetId="5" r:id="rId3"/>
    <sheet name="BS" sheetId="4" r:id="rId4"/>
    <sheet name="CFS" sheetId="8" r:id="rId5"/>
    <sheet name="Ethanol" sheetId="7" r:id="rId6"/>
    <sheet name="Sugar" sheetId="11" r:id="rId7"/>
    <sheet name="Power" sheetId="10" r:id="rId8"/>
    <sheet name="Employee" sheetId="12" r:id="rId9"/>
    <sheet name="Sheet1" sheetId="16" state="hidden" r:id="rId10"/>
    <sheet name="PAT(Proj)" sheetId="14" state="hidden" r:id="rId11"/>
    <sheet name="Assumptions" sheetId="1" state="hidden" r:id="rId12"/>
    <sheet name="CMA" sheetId="6" state="hidden" r:id="rId1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L25" i="4" s="1"/>
  <c r="G191" i="4"/>
  <c r="E9" i="4"/>
  <c r="E12" i="4"/>
  <c r="E13" i="4"/>
  <c r="E20" i="4"/>
  <c r="E19" i="4"/>
  <c r="E18" i="4"/>
  <c r="E27" i="4"/>
  <c r="M131" i="5"/>
  <c r="L131" i="5"/>
  <c r="K131" i="5"/>
  <c r="J131" i="5"/>
  <c r="M130" i="5"/>
  <c r="L130" i="5"/>
  <c r="K130" i="5"/>
  <c r="J130" i="5"/>
  <c r="M129" i="5"/>
  <c r="L129" i="5"/>
  <c r="K129" i="5"/>
  <c r="J129" i="5"/>
  <c r="B128" i="5"/>
  <c r="R113" i="5"/>
  <c r="Q113" i="5"/>
  <c r="P113" i="5"/>
  <c r="O113" i="5"/>
  <c r="M113" i="5"/>
  <c r="L113" i="5"/>
  <c r="K113" i="5"/>
  <c r="J113" i="5"/>
  <c r="R112" i="5"/>
  <c r="Q112" i="5"/>
  <c r="P112" i="5"/>
  <c r="O112" i="5"/>
  <c r="M112" i="5"/>
  <c r="L112" i="5"/>
  <c r="K112" i="5"/>
  <c r="J112" i="5"/>
  <c r="R111" i="5"/>
  <c r="Q111" i="5"/>
  <c r="P111" i="5"/>
  <c r="O111" i="5"/>
  <c r="M111" i="5"/>
  <c r="L111" i="5"/>
  <c r="K111" i="5"/>
  <c r="J111" i="5"/>
  <c r="R110" i="5"/>
  <c r="Q110" i="5"/>
  <c r="P110" i="5"/>
  <c r="O110" i="5"/>
  <c r="M110" i="5"/>
  <c r="L110" i="5"/>
  <c r="K110" i="5"/>
  <c r="J110" i="5"/>
  <c r="R109" i="5"/>
  <c r="Q109" i="5"/>
  <c r="P109" i="5"/>
  <c r="O109" i="5"/>
  <c r="M109" i="5"/>
  <c r="L109" i="5"/>
  <c r="K109" i="5"/>
  <c r="J109" i="5"/>
  <c r="R127" i="5"/>
  <c r="Q127" i="5"/>
  <c r="P127" i="5"/>
  <c r="O127" i="5"/>
  <c r="M127" i="5"/>
  <c r="L127" i="5"/>
  <c r="K127" i="5"/>
  <c r="J127" i="5"/>
  <c r="R126" i="5"/>
  <c r="Q126" i="5"/>
  <c r="P126" i="5"/>
  <c r="O126" i="5"/>
  <c r="M126" i="5"/>
  <c r="L126" i="5"/>
  <c r="K126" i="5"/>
  <c r="J126" i="5"/>
  <c r="R125" i="5"/>
  <c r="Q125" i="5"/>
  <c r="P125" i="5"/>
  <c r="O125" i="5"/>
  <c r="M125" i="5"/>
  <c r="L125" i="5"/>
  <c r="K125" i="5"/>
  <c r="J125" i="5"/>
  <c r="R124" i="5"/>
  <c r="Q124" i="5"/>
  <c r="P124" i="5"/>
  <c r="O124" i="5"/>
  <c r="M124" i="5"/>
  <c r="L124" i="5"/>
  <c r="K124" i="5"/>
  <c r="J124" i="5"/>
  <c r="R123" i="5"/>
  <c r="Q123" i="5"/>
  <c r="P123" i="5"/>
  <c r="O123" i="5"/>
  <c r="M123" i="5"/>
  <c r="L123" i="5"/>
  <c r="K123" i="5"/>
  <c r="J123" i="5"/>
  <c r="C123" i="5"/>
  <c r="F66" i="11"/>
  <c r="D130" i="5" l="1"/>
  <c r="D129" i="5"/>
  <c r="P28" i="13"/>
  <c r="O28" i="13"/>
  <c r="O29" i="13"/>
  <c r="C163" i="4"/>
  <c r="P26" i="13"/>
  <c r="D27" i="13"/>
  <c r="E27" i="13" s="1"/>
  <c r="F27" i="13" s="1"/>
  <c r="G27" i="13" s="1"/>
  <c r="H27" i="13" s="1"/>
  <c r="C31" i="4"/>
  <c r="S28" i="13" l="1"/>
  <c r="P25" i="4"/>
  <c r="Q31" i="13"/>
  <c r="Q27" i="13"/>
  <c r="Q26" i="13"/>
  <c r="O22" i="13"/>
  <c r="N22" i="13"/>
  <c r="O19" i="13"/>
  <c r="N19" i="13"/>
  <c r="Q30" i="13"/>
  <c r="Q29" i="13"/>
  <c r="Q28" i="13"/>
  <c r="R28" i="13" s="1"/>
  <c r="P31" i="13"/>
  <c r="P30" i="13"/>
  <c r="P29" i="13"/>
  <c r="P27" i="13"/>
  <c r="O31" i="13"/>
  <c r="O30" i="13"/>
  <c r="O27" i="13"/>
  <c r="O26" i="13"/>
  <c r="S26" i="13" s="1"/>
  <c r="J45" i="7"/>
  <c r="K45" i="7" s="1"/>
  <c r="S22" i="13"/>
  <c r="R22" i="13"/>
  <c r="Q22" i="13"/>
  <c r="P22" i="13"/>
  <c r="S19" i="13"/>
  <c r="R19" i="13"/>
  <c r="Q19" i="13"/>
  <c r="P19" i="13"/>
  <c r="S16" i="13"/>
  <c r="R16" i="13"/>
  <c r="Q16" i="13"/>
  <c r="P16" i="13"/>
  <c r="O16" i="13"/>
  <c r="N16" i="13"/>
  <c r="N27" i="13"/>
  <c r="N28" i="13" s="1"/>
  <c r="N29" i="13" s="1"/>
  <c r="N30" i="13" s="1"/>
  <c r="N31" i="13" s="1"/>
  <c r="H15" i="5"/>
  <c r="E15" i="5"/>
  <c r="F15" i="5"/>
  <c r="J15" i="5"/>
  <c r="AC21" i="7"/>
  <c r="X21" i="7"/>
  <c r="S21" i="7"/>
  <c r="N21" i="7"/>
  <c r="F55" i="11"/>
  <c r="E55" i="11"/>
  <c r="E54" i="11"/>
  <c r="Z71" i="10"/>
  <c r="Z54" i="11" s="1"/>
  <c r="Y71" i="10"/>
  <c r="Y54" i="11" s="1"/>
  <c r="U71" i="10"/>
  <c r="U54" i="11" s="1"/>
  <c r="T71" i="10"/>
  <c r="T54" i="11" s="1"/>
  <c r="P71" i="10"/>
  <c r="P54" i="11" s="1"/>
  <c r="O71" i="10"/>
  <c r="O54" i="11" s="1"/>
  <c r="K71" i="10"/>
  <c r="K54" i="11" s="1"/>
  <c r="J71" i="10"/>
  <c r="J54" i="11" s="1"/>
  <c r="F71" i="10"/>
  <c r="F54" i="11" s="1"/>
  <c r="E71" i="10"/>
  <c r="E26" i="12"/>
  <c r="C100" i="11"/>
  <c r="C102" i="11" s="1"/>
  <c r="D74" i="10" s="1"/>
  <c r="E70" i="10" s="1"/>
  <c r="E53" i="11" s="1"/>
  <c r="J66" i="11"/>
  <c r="K66" i="11"/>
  <c r="G66" i="11"/>
  <c r="C103" i="11"/>
  <c r="C104" i="11" s="1"/>
  <c r="M17" i="11"/>
  <c r="R17" i="11" s="1"/>
  <c r="W17" i="11" s="1"/>
  <c r="AB17" i="11" s="1"/>
  <c r="L17" i="11"/>
  <c r="Q17" i="11" s="1"/>
  <c r="V17" i="11" s="1"/>
  <c r="AA17" i="11" s="1"/>
  <c r="C93" i="11"/>
  <c r="D50" i="11" s="1"/>
  <c r="E47" i="11" s="1"/>
  <c r="E49" i="11" s="1"/>
  <c r="C89" i="11"/>
  <c r="D44" i="11" s="1"/>
  <c r="F26" i="12" l="1"/>
  <c r="G26" i="12" s="1"/>
  <c r="E29" i="12"/>
  <c r="R30" i="13"/>
  <c r="E30" i="12"/>
  <c r="E28" i="12"/>
  <c r="R26" i="13"/>
  <c r="R27" i="13"/>
  <c r="S31" i="13"/>
  <c r="S30" i="13"/>
  <c r="R31" i="13"/>
  <c r="S29" i="13"/>
  <c r="R29" i="13"/>
  <c r="S27" i="13"/>
  <c r="E74" i="10"/>
  <c r="F70" i="10" s="1"/>
  <c r="F53" i="11" s="1"/>
  <c r="F57" i="11" s="1"/>
  <c r="I104" i="4"/>
  <c r="J104" i="4" s="1"/>
  <c r="K104" i="4" s="1"/>
  <c r="M104" i="4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F105" i="4"/>
  <c r="G105" i="4" s="1"/>
  <c r="I105" i="4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F106" i="4"/>
  <c r="G106" i="4" s="1"/>
  <c r="L106" i="4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F107" i="4"/>
  <c r="G107" i="4" s="1"/>
  <c r="I107" i="4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F108" i="4"/>
  <c r="G108" i="4" s="1"/>
  <c r="I108" i="4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D116" i="4"/>
  <c r="C116" i="4"/>
  <c r="D115" i="4"/>
  <c r="C115" i="4"/>
  <c r="D114" i="4"/>
  <c r="C114" i="4"/>
  <c r="D113" i="4"/>
  <c r="C113" i="4"/>
  <c r="D94" i="4"/>
  <c r="C94" i="4"/>
  <c r="D95" i="4"/>
  <c r="C95" i="4"/>
  <c r="D93" i="4"/>
  <c r="C93" i="4"/>
  <c r="D92" i="4"/>
  <c r="C92" i="4"/>
  <c r="Y111" i="4"/>
  <c r="D111" i="4"/>
  <c r="C111" i="4"/>
  <c r="B111" i="4"/>
  <c r="D112" i="4"/>
  <c r="C112" i="4"/>
  <c r="Y90" i="4"/>
  <c r="D90" i="4"/>
  <c r="C90" i="4"/>
  <c r="B90" i="4"/>
  <c r="C91" i="4"/>
  <c r="D91" i="4"/>
  <c r="B79" i="4"/>
  <c r="L53" i="4"/>
  <c r="L90" i="4" s="1"/>
  <c r="J53" i="4"/>
  <c r="J90" i="4" s="1"/>
  <c r="I53" i="4"/>
  <c r="I90" i="4" s="1"/>
  <c r="G53" i="4"/>
  <c r="G90" i="4" s="1"/>
  <c r="E53" i="4"/>
  <c r="E90" i="4" s="1"/>
  <c r="D13" i="10"/>
  <c r="D12" i="10"/>
  <c r="D77" i="10" s="1"/>
  <c r="D11" i="10"/>
  <c r="P66" i="11"/>
  <c r="R67" i="11"/>
  <c r="H68" i="11"/>
  <c r="E42" i="11"/>
  <c r="I21" i="7"/>
  <c r="G1" i="11"/>
  <c r="H26" i="12" l="1"/>
  <c r="T25" i="4"/>
  <c r="F74" i="10"/>
  <c r="G70" i="10" s="1"/>
  <c r="G53" i="11" s="1"/>
  <c r="D72" i="10"/>
  <c r="D73" i="10" s="1"/>
  <c r="F77" i="10" s="1"/>
  <c r="F53" i="10" s="1"/>
  <c r="D65" i="10"/>
  <c r="G111" i="4"/>
  <c r="I111" i="4"/>
  <c r="J111" i="4"/>
  <c r="E111" i="4"/>
  <c r="L111" i="4"/>
  <c r="J26" i="12" l="1"/>
  <c r="K26" i="12" s="1"/>
  <c r="L26" i="12" s="1"/>
  <c r="M26" i="12" s="1"/>
  <c r="O26" i="12" s="1"/>
  <c r="P26" i="12" s="1"/>
  <c r="Q26" i="12" s="1"/>
  <c r="R26" i="12" s="1"/>
  <c r="T26" i="12" s="1"/>
  <c r="U26" i="12" s="1"/>
  <c r="V26" i="12" s="1"/>
  <c r="W26" i="12" s="1"/>
  <c r="Y26" i="12" s="1"/>
  <c r="Z26" i="12" s="1"/>
  <c r="AA26" i="12" s="1"/>
  <c r="AB26" i="12" s="1"/>
  <c r="X25" i="4"/>
  <c r="E77" i="10"/>
  <c r="E53" i="10" s="1"/>
  <c r="D142" i="4"/>
  <c r="C23" i="10"/>
  <c r="C24" i="10" s="1"/>
  <c r="C20" i="10"/>
  <c r="AC40" i="7"/>
  <c r="X40" i="7"/>
  <c r="S40" i="7"/>
  <c r="N40" i="7"/>
  <c r="I40" i="7"/>
  <c r="E34" i="7"/>
  <c r="X49" i="11"/>
  <c r="S49" i="11"/>
  <c r="N49" i="11"/>
  <c r="I49" i="11"/>
  <c r="H1" i="11"/>
  <c r="L1" i="11"/>
  <c r="Q1" i="11" s="1"/>
  <c r="V1" i="11" s="1"/>
  <c r="AA1" i="11" s="1"/>
  <c r="E48" i="11"/>
  <c r="E50" i="11" s="1"/>
  <c r="O42" i="11"/>
  <c r="P42" i="11"/>
  <c r="F42" i="11"/>
  <c r="X35" i="11"/>
  <c r="S35" i="11"/>
  <c r="N35" i="11"/>
  <c r="I35" i="11"/>
  <c r="E23" i="11"/>
  <c r="E36" i="11" s="1"/>
  <c r="Q23" i="11"/>
  <c r="R23" i="11"/>
  <c r="L23" i="11"/>
  <c r="L25" i="11" s="1"/>
  <c r="L42" i="11" s="1"/>
  <c r="M23" i="11"/>
  <c r="M36" i="11" s="1"/>
  <c r="N23" i="11"/>
  <c r="N36" i="11" s="1"/>
  <c r="O23" i="11"/>
  <c r="AB23" i="11"/>
  <c r="AA23" i="11"/>
  <c r="Z23" i="11"/>
  <c r="Y23" i="11"/>
  <c r="X23" i="11"/>
  <c r="X36" i="11" s="1"/>
  <c r="W23" i="11"/>
  <c r="V23" i="11"/>
  <c r="U23" i="11"/>
  <c r="T23" i="11"/>
  <c r="S23" i="11"/>
  <c r="S25" i="11" s="1"/>
  <c r="P23" i="11"/>
  <c r="K23" i="11"/>
  <c r="J23" i="11"/>
  <c r="J36" i="11" s="1"/>
  <c r="I23" i="11"/>
  <c r="I36" i="11" s="1"/>
  <c r="H23" i="11"/>
  <c r="G23" i="11"/>
  <c r="G28" i="11" s="1"/>
  <c r="F23" i="11"/>
  <c r="F36" i="11" s="1"/>
  <c r="H1" i="7"/>
  <c r="J1" i="7" s="1"/>
  <c r="M45" i="7"/>
  <c r="R45" i="7" s="1"/>
  <c r="R47" i="7" s="1"/>
  <c r="E15" i="7"/>
  <c r="F16" i="7"/>
  <c r="G16" i="7" s="1"/>
  <c r="L9" i="7"/>
  <c r="O9" i="7" s="1"/>
  <c r="G9" i="7"/>
  <c r="E9" i="7"/>
  <c r="F9" i="7" s="1"/>
  <c r="Q9" i="7"/>
  <c r="T9" i="7" s="1"/>
  <c r="H9" i="7"/>
  <c r="K9" i="7" s="1"/>
  <c r="T53" i="4"/>
  <c r="S53" i="4"/>
  <c r="R53" i="4"/>
  <c r="Q53" i="4"/>
  <c r="P53" i="4"/>
  <c r="O53" i="4"/>
  <c r="N53" i="4"/>
  <c r="M53" i="4"/>
  <c r="K53" i="4"/>
  <c r="H53" i="4"/>
  <c r="F53" i="4"/>
  <c r="Z61" i="11"/>
  <c r="Y61" i="11"/>
  <c r="U61" i="11"/>
  <c r="T61" i="11"/>
  <c r="P61" i="11"/>
  <c r="O61" i="11"/>
  <c r="K61" i="11"/>
  <c r="J61" i="11"/>
  <c r="F61" i="11"/>
  <c r="E61" i="11"/>
  <c r="D45" i="10"/>
  <c r="A142" i="4"/>
  <c r="E41" i="11" s="1"/>
  <c r="E43" i="11" s="1"/>
  <c r="E136" i="4"/>
  <c r="F136" i="4" s="1"/>
  <c r="G136" i="4" s="1"/>
  <c r="AB9" i="7"/>
  <c r="AA9" i="7"/>
  <c r="W9" i="7"/>
  <c r="Z9" i="7" s="1"/>
  <c r="V9" i="7"/>
  <c r="Y9" i="7" s="1"/>
  <c r="R9" i="7"/>
  <c r="U9" i="7" s="1"/>
  <c r="C45" i="10"/>
  <c r="F45" i="10" s="1"/>
  <c r="C38" i="10"/>
  <c r="C39" i="10" s="1"/>
  <c r="C30" i="10"/>
  <c r="AB2" i="10"/>
  <c r="AA2" i="10"/>
  <c r="Z2" i="10"/>
  <c r="Y2" i="10"/>
  <c r="W2" i="10"/>
  <c r="V2" i="10"/>
  <c r="U2" i="10"/>
  <c r="T2" i="10"/>
  <c r="R2" i="10"/>
  <c r="Q2" i="10"/>
  <c r="P2" i="10"/>
  <c r="O2" i="10"/>
  <c r="M2" i="10"/>
  <c r="L2" i="10"/>
  <c r="K2" i="10"/>
  <c r="J2" i="10"/>
  <c r="H2" i="10"/>
  <c r="G2" i="10"/>
  <c r="F2" i="10"/>
  <c r="E2" i="10"/>
  <c r="AB1" i="10"/>
  <c r="AA1" i="10"/>
  <c r="Z1" i="10"/>
  <c r="Y1" i="10"/>
  <c r="W1" i="10"/>
  <c r="V1" i="10"/>
  <c r="U1" i="10"/>
  <c r="T1" i="10"/>
  <c r="R1" i="10"/>
  <c r="Q1" i="10"/>
  <c r="P1" i="10"/>
  <c r="O1" i="10"/>
  <c r="M1" i="10"/>
  <c r="L1" i="10"/>
  <c r="K1" i="10"/>
  <c r="J1" i="10"/>
  <c r="H1" i="10"/>
  <c r="G1" i="10"/>
  <c r="Z47" i="7"/>
  <c r="Y47" i="7"/>
  <c r="U47" i="7"/>
  <c r="T47" i="7"/>
  <c r="P47" i="7"/>
  <c r="O47" i="7"/>
  <c r="C152" i="4"/>
  <c r="AB78" i="11"/>
  <c r="W78" i="11"/>
  <c r="R78" i="11"/>
  <c r="M78" i="11"/>
  <c r="C13" i="11"/>
  <c r="C11" i="11"/>
  <c r="C8" i="11"/>
  <c r="C19" i="10"/>
  <c r="M1" i="7"/>
  <c r="R1" i="7" s="1"/>
  <c r="W1" i="7" s="1"/>
  <c r="G1" i="7"/>
  <c r="G15" i="5"/>
  <c r="I15" i="5" s="1"/>
  <c r="F4" i="12"/>
  <c r="G4" i="12" s="1"/>
  <c r="H4" i="12" s="1"/>
  <c r="J4" i="12" s="1"/>
  <c r="K4" i="12" s="1"/>
  <c r="L4" i="12" s="1"/>
  <c r="M4" i="12" s="1"/>
  <c r="O4" i="12" s="1"/>
  <c r="P4" i="12" s="1"/>
  <c r="Q4" i="12" s="1"/>
  <c r="R4" i="12" s="1"/>
  <c r="T4" i="12" s="1"/>
  <c r="U4" i="12" s="1"/>
  <c r="V4" i="12" s="1"/>
  <c r="W4" i="12" s="1"/>
  <c r="Y4" i="12" s="1"/>
  <c r="Z4" i="12" s="1"/>
  <c r="AA4" i="12" s="1"/>
  <c r="AB4" i="12" s="1"/>
  <c r="E30" i="10" l="1"/>
  <c r="Q30" i="10"/>
  <c r="C25" i="10"/>
  <c r="C27" i="10"/>
  <c r="G29" i="10" s="1"/>
  <c r="G59" i="10" s="1"/>
  <c r="G63" i="10" s="1"/>
  <c r="V34" i="11"/>
  <c r="K1" i="7"/>
  <c r="K34" i="11" s="1"/>
  <c r="J34" i="11"/>
  <c r="G10" i="7"/>
  <c r="G14" i="7" s="1"/>
  <c r="G20" i="7" s="1"/>
  <c r="AB1" i="7"/>
  <c r="M47" i="7"/>
  <c r="H27" i="11"/>
  <c r="H71" i="10" s="1"/>
  <c r="H54" i="11" s="1"/>
  <c r="H79" i="11"/>
  <c r="H82" i="11"/>
  <c r="L1" i="7"/>
  <c r="L34" i="11"/>
  <c r="L78" i="11" s="1"/>
  <c r="M1" i="11"/>
  <c r="F90" i="4"/>
  <c r="F111" i="4"/>
  <c r="P90" i="4"/>
  <c r="P111" i="4"/>
  <c r="H111" i="4"/>
  <c r="Q90" i="4"/>
  <c r="Q111" i="4"/>
  <c r="K90" i="4"/>
  <c r="K111" i="4"/>
  <c r="R90" i="4"/>
  <c r="R111" i="4"/>
  <c r="S90" i="4"/>
  <c r="S111" i="4"/>
  <c r="O90" i="4"/>
  <c r="O111" i="4"/>
  <c r="M90" i="4"/>
  <c r="M111" i="4"/>
  <c r="T90" i="4"/>
  <c r="T111" i="4"/>
  <c r="N90" i="4"/>
  <c r="N111" i="4"/>
  <c r="H90" i="4"/>
  <c r="N25" i="11"/>
  <c r="AA34" i="11"/>
  <c r="Q34" i="11"/>
  <c r="L36" i="11"/>
  <c r="J1" i="11"/>
  <c r="S36" i="11"/>
  <c r="H25" i="11"/>
  <c r="G30" i="10"/>
  <c r="H34" i="11"/>
  <c r="H78" i="11" s="1"/>
  <c r="G34" i="11"/>
  <c r="H36" i="11"/>
  <c r="G36" i="11"/>
  <c r="E44" i="11"/>
  <c r="H28" i="11"/>
  <c r="H61" i="11" s="1"/>
  <c r="H26" i="11"/>
  <c r="H48" i="11" s="1"/>
  <c r="X25" i="11"/>
  <c r="G26" i="11"/>
  <c r="G48" i="11" s="1"/>
  <c r="G25" i="11"/>
  <c r="G27" i="11"/>
  <c r="G71" i="10" s="1"/>
  <c r="G54" i="11" s="1"/>
  <c r="G61" i="11"/>
  <c r="J9" i="7"/>
  <c r="J10" i="7" s="1"/>
  <c r="J14" i="7" s="1"/>
  <c r="M9" i="7"/>
  <c r="P9" i="7" s="1"/>
  <c r="H136" i="4"/>
  <c r="W45" i="7"/>
  <c r="C40" i="10"/>
  <c r="U45" i="10"/>
  <c r="H45" i="10"/>
  <c r="Q45" i="10"/>
  <c r="R45" i="10"/>
  <c r="G45" i="10"/>
  <c r="T45" i="10"/>
  <c r="V45" i="10"/>
  <c r="E45" i="10"/>
  <c r="K30" i="10"/>
  <c r="W30" i="10"/>
  <c r="L45" i="10"/>
  <c r="Y45" i="10"/>
  <c r="L30" i="10"/>
  <c r="Y30" i="10"/>
  <c r="M45" i="10"/>
  <c r="Z45" i="10"/>
  <c r="M30" i="10"/>
  <c r="Z30" i="10"/>
  <c r="O45" i="10"/>
  <c r="AA45" i="10"/>
  <c r="O30" i="10"/>
  <c r="AA30" i="10"/>
  <c r="P45" i="10"/>
  <c r="AB45" i="10"/>
  <c r="P30" i="10"/>
  <c r="AB30" i="10"/>
  <c r="J45" i="10"/>
  <c r="K45" i="10"/>
  <c r="W45" i="10"/>
  <c r="F30" i="10"/>
  <c r="R30" i="10"/>
  <c r="H30" i="10"/>
  <c r="U30" i="10"/>
  <c r="T30" i="10"/>
  <c r="J30" i="10"/>
  <c r="V30" i="10"/>
  <c r="L26" i="11"/>
  <c r="L48" i="11" s="1"/>
  <c r="L28" i="11"/>
  <c r="L61" i="11" s="1"/>
  <c r="M28" i="11"/>
  <c r="M61" i="11" s="1"/>
  <c r="M27" i="11"/>
  <c r="M71" i="10" s="1"/>
  <c r="M54" i="11" s="1"/>
  <c r="M26" i="11"/>
  <c r="M48" i="11" s="1"/>
  <c r="L27" i="11"/>
  <c r="L71" i="10" s="1"/>
  <c r="L54" i="11" s="1"/>
  <c r="M25" i="11"/>
  <c r="K36" i="11"/>
  <c r="E10" i="7"/>
  <c r="E14" i="7" s="1"/>
  <c r="F10" i="7"/>
  <c r="F14" i="7" s="1"/>
  <c r="H10" i="7"/>
  <c r="H14" i="7" s="1"/>
  <c r="C7" i="13"/>
  <c r="C14" i="13" s="1"/>
  <c r="C3" i="13"/>
  <c r="C4" i="13" l="1"/>
  <c r="C16" i="13" s="1"/>
  <c r="C29" i="13" s="1"/>
  <c r="C43" i="13"/>
  <c r="C41" i="13"/>
  <c r="C42" i="13"/>
  <c r="D44" i="13"/>
  <c r="G6" i="7"/>
  <c r="G72" i="10"/>
  <c r="Q1" i="7"/>
  <c r="V1" i="7" s="1"/>
  <c r="AA1" i="7" s="1"/>
  <c r="R1" i="11"/>
  <c r="W1" i="11" s="1"/>
  <c r="AB1" i="11" s="1"/>
  <c r="K1" i="11"/>
  <c r="P1" i="11" s="1"/>
  <c r="U1" i="11" s="1"/>
  <c r="Z1" i="11" s="1"/>
  <c r="O1" i="11"/>
  <c r="T1" i="11" s="1"/>
  <c r="Y1" i="11" s="1"/>
  <c r="H20" i="7"/>
  <c r="H51" i="7" s="1"/>
  <c r="H6" i="7"/>
  <c r="I136" i="4"/>
  <c r="O1" i="7"/>
  <c r="O34" i="11" s="1"/>
  <c r="AB45" i="7"/>
  <c r="AB47" i="7" s="1"/>
  <c r="W47" i="7"/>
  <c r="C42" i="10"/>
  <c r="V44" i="10" s="1"/>
  <c r="U29" i="10"/>
  <c r="L10" i="7"/>
  <c r="L14" i="7" s="1"/>
  <c r="L20" i="7" s="1"/>
  <c r="B82" i="5"/>
  <c r="B90" i="5" s="1"/>
  <c r="B65" i="5"/>
  <c r="B72" i="5" s="1"/>
  <c r="C153" i="4"/>
  <c r="F26" i="7"/>
  <c r="F47" i="7" s="1"/>
  <c r="E26" i="7"/>
  <c r="B25" i="7"/>
  <c r="F3" i="10"/>
  <c r="G3" i="10" s="1"/>
  <c r="H3" i="10" s="1"/>
  <c r="J3" i="10" s="1"/>
  <c r="K3" i="10" s="1"/>
  <c r="L3" i="10" s="1"/>
  <c r="M3" i="10" s="1"/>
  <c r="O3" i="10" s="1"/>
  <c r="P3" i="10" s="1"/>
  <c r="Q3" i="10" s="1"/>
  <c r="R3" i="10" s="1"/>
  <c r="T3" i="10" s="1"/>
  <c r="U3" i="10" s="1"/>
  <c r="V3" i="10" s="1"/>
  <c r="W3" i="10" s="1"/>
  <c r="Y3" i="10" s="1"/>
  <c r="Z3" i="10" s="1"/>
  <c r="AA3" i="10" s="1"/>
  <c r="AB3" i="10" s="1"/>
  <c r="F3" i="11"/>
  <c r="G3" i="11" s="1"/>
  <c r="H3" i="11" s="1"/>
  <c r="J3" i="11" s="1"/>
  <c r="K3" i="11" s="1"/>
  <c r="F3" i="7"/>
  <c r="G3" i="7" s="1"/>
  <c r="E3" i="8"/>
  <c r="F3" i="8" s="1"/>
  <c r="G3" i="8" s="1"/>
  <c r="I3" i="8" s="1"/>
  <c r="J3" i="8" s="1"/>
  <c r="K3" i="8" s="1"/>
  <c r="L3" i="8" s="1"/>
  <c r="N3" i="8" s="1"/>
  <c r="O3" i="8" s="1"/>
  <c r="P3" i="8" s="1"/>
  <c r="Q3" i="8" s="1"/>
  <c r="S3" i="8" s="1"/>
  <c r="T3" i="8" s="1"/>
  <c r="U3" i="8" s="1"/>
  <c r="V3" i="8" s="1"/>
  <c r="X3" i="8" s="1"/>
  <c r="Y3" i="8" s="1"/>
  <c r="Z3" i="8" s="1"/>
  <c r="AA3" i="8" s="1"/>
  <c r="F4" i="5"/>
  <c r="G4" i="5" s="1"/>
  <c r="H4" i="5" s="1"/>
  <c r="J4" i="5" s="1"/>
  <c r="K4" i="5" s="1"/>
  <c r="L4" i="5" s="1"/>
  <c r="M4" i="5" s="1"/>
  <c r="O4" i="5" s="1"/>
  <c r="P4" i="5" s="1"/>
  <c r="Q4" i="5" s="1"/>
  <c r="R4" i="5" s="1"/>
  <c r="T4" i="5" s="1"/>
  <c r="U4" i="5" s="1"/>
  <c r="V4" i="5" s="1"/>
  <c r="W4" i="5" s="1"/>
  <c r="Y4" i="5" s="1"/>
  <c r="Z4" i="5" s="1"/>
  <c r="AA4" i="5" s="1"/>
  <c r="AB4" i="5" s="1"/>
  <c r="AB15" i="5"/>
  <c r="AA15" i="5"/>
  <c r="Z15" i="5"/>
  <c r="Y15" i="5"/>
  <c r="W15" i="5"/>
  <c r="V15" i="5"/>
  <c r="U15" i="5"/>
  <c r="T15" i="5"/>
  <c r="R15" i="5"/>
  <c r="Q15" i="5"/>
  <c r="P15" i="5"/>
  <c r="O15" i="5"/>
  <c r="M15" i="5"/>
  <c r="L15" i="5"/>
  <c r="K15" i="5"/>
  <c r="D2" i="13"/>
  <c r="E2" i="13" s="1"/>
  <c r="F2" i="13" s="1"/>
  <c r="G2" i="13" s="1"/>
  <c r="H2" i="13" s="1"/>
  <c r="C19" i="13" l="1"/>
  <c r="C21" i="13" s="1"/>
  <c r="C48" i="13" s="1"/>
  <c r="C38" i="13"/>
  <c r="N15" i="5"/>
  <c r="U31" i="10"/>
  <c r="U33" i="10" s="1"/>
  <c r="U35" i="10" s="1"/>
  <c r="U80" i="11" s="1"/>
  <c r="U59" i="10"/>
  <c r="U63" i="10" s="1"/>
  <c r="U72" i="10" s="1"/>
  <c r="V46" i="10"/>
  <c r="V48" i="10" s="1"/>
  <c r="V60" i="10"/>
  <c r="V64" i="10" s="1"/>
  <c r="J44" i="10"/>
  <c r="K44" i="10"/>
  <c r="L44" i="10"/>
  <c r="H44" i="10"/>
  <c r="M44" i="10"/>
  <c r="P44" i="10"/>
  <c r="W44" i="10"/>
  <c r="L3" i="11"/>
  <c r="J136" i="4"/>
  <c r="W29" i="10"/>
  <c r="R29" i="10"/>
  <c r="Y44" i="10"/>
  <c r="E44" i="10"/>
  <c r="E27" i="7"/>
  <c r="E47" i="7"/>
  <c r="T1" i="7"/>
  <c r="P1" i="7"/>
  <c r="P34" i="11" s="1"/>
  <c r="K10" i="7"/>
  <c r="K14" i="7" s="1"/>
  <c r="F44" i="10"/>
  <c r="Z44" i="10"/>
  <c r="AB44" i="10"/>
  <c r="G44" i="10"/>
  <c r="U44" i="10"/>
  <c r="T29" i="10"/>
  <c r="AA44" i="10"/>
  <c r="O44" i="10"/>
  <c r="R44" i="10"/>
  <c r="T44" i="10"/>
  <c r="V29" i="10"/>
  <c r="Q44" i="10"/>
  <c r="G31" i="10"/>
  <c r="G33" i="10" s="1"/>
  <c r="G35" i="10" s="1"/>
  <c r="G80" i="11" s="1"/>
  <c r="J29" i="10"/>
  <c r="E29" i="10"/>
  <c r="E31" i="10" s="1"/>
  <c r="E33" i="10" s="1"/>
  <c r="E35" i="10" s="1"/>
  <c r="E80" i="11" s="1"/>
  <c r="Q29" i="10"/>
  <c r="K29" i="10"/>
  <c r="M29" i="10"/>
  <c r="O29" i="10"/>
  <c r="L29" i="10"/>
  <c r="AA29" i="10"/>
  <c r="P29" i="10"/>
  <c r="Y29" i="10"/>
  <c r="Z29" i="10"/>
  <c r="AB29" i="10"/>
  <c r="F29" i="10"/>
  <c r="F31" i="10" s="1"/>
  <c r="F33" i="10" s="1"/>
  <c r="F35" i="10" s="1"/>
  <c r="F80" i="11" s="1"/>
  <c r="H29" i="10"/>
  <c r="M10" i="7"/>
  <c r="M14" i="7" s="1"/>
  <c r="AC15" i="5"/>
  <c r="I23" i="12"/>
  <c r="J23" i="12" s="1"/>
  <c r="F7" i="12"/>
  <c r="F8" i="12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F9" i="12"/>
  <c r="G9" i="12" s="1"/>
  <c r="H9" i="12" s="1"/>
  <c r="I9" i="12" s="1"/>
  <c r="J9" i="12" s="1"/>
  <c r="K9" i="12" s="1"/>
  <c r="L9" i="12" s="1"/>
  <c r="M9" i="12" s="1"/>
  <c r="N9" i="12" s="1"/>
  <c r="O9" i="12" s="1"/>
  <c r="P9" i="12" s="1"/>
  <c r="Q9" i="12" s="1"/>
  <c r="F10" i="12"/>
  <c r="G10" i="12" s="1"/>
  <c r="H10" i="12" s="1"/>
  <c r="I10" i="12" s="1"/>
  <c r="J10" i="12" s="1"/>
  <c r="K10" i="12" s="1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Y10" i="12" s="1"/>
  <c r="Z10" i="12" s="1"/>
  <c r="AA10" i="12" s="1"/>
  <c r="AB10" i="12" s="1"/>
  <c r="AC10" i="12" s="1"/>
  <c r="F13" i="12"/>
  <c r="F14" i="12"/>
  <c r="F15" i="12"/>
  <c r="G15" i="12" s="1"/>
  <c r="H15" i="12" s="1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AA15" i="12" s="1"/>
  <c r="AB15" i="12" s="1"/>
  <c r="AC15" i="12" s="1"/>
  <c r="F16" i="12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Y16" i="12" s="1"/>
  <c r="Z16" i="12" s="1"/>
  <c r="AA16" i="12" s="1"/>
  <c r="AB16" i="12" s="1"/>
  <c r="AC16" i="12" s="1"/>
  <c r="F17" i="12"/>
  <c r="G17" i="12" s="1"/>
  <c r="H17" i="12" s="1"/>
  <c r="I17" i="12" s="1"/>
  <c r="J17" i="12" s="1"/>
  <c r="K17" i="12" s="1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Y17" i="12" s="1"/>
  <c r="Z17" i="12" s="1"/>
  <c r="AA17" i="12" s="1"/>
  <c r="AB17" i="12" s="1"/>
  <c r="AC17" i="12" s="1"/>
  <c r="F18" i="12"/>
  <c r="G18" i="12" s="1"/>
  <c r="H18" i="12" s="1"/>
  <c r="I18" i="12" s="1"/>
  <c r="J18" i="12" s="1"/>
  <c r="K18" i="12" s="1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Y18" i="12" s="1"/>
  <c r="Z18" i="12" s="1"/>
  <c r="AA18" i="12" s="1"/>
  <c r="AB18" i="12" s="1"/>
  <c r="AC18" i="12" s="1"/>
  <c r="F19" i="12"/>
  <c r="G19" i="12" s="1"/>
  <c r="H19" i="12" s="1"/>
  <c r="I19" i="12" s="1"/>
  <c r="J19" i="12" s="1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Y19" i="12" s="1"/>
  <c r="Z19" i="12" s="1"/>
  <c r="AA19" i="12" s="1"/>
  <c r="AB19" i="12" s="1"/>
  <c r="AC19" i="12" s="1"/>
  <c r="F20" i="12"/>
  <c r="G20" i="12" s="1"/>
  <c r="H20" i="12" s="1"/>
  <c r="I20" i="12" s="1"/>
  <c r="J20" i="12" s="1"/>
  <c r="K20" i="12" s="1"/>
  <c r="L20" i="12" s="1"/>
  <c r="M20" i="12" s="1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Y20" i="12" s="1"/>
  <c r="Z20" i="12" s="1"/>
  <c r="AA20" i="12" s="1"/>
  <c r="AB20" i="12" s="1"/>
  <c r="AC20" i="12" s="1"/>
  <c r="F23" i="12"/>
  <c r="F24" i="12"/>
  <c r="G24" i="12" s="1"/>
  <c r="G30" i="12" s="1"/>
  <c r="F3" i="12"/>
  <c r="G3" i="12" s="1"/>
  <c r="H3" i="12" s="1"/>
  <c r="J3" i="12" s="1"/>
  <c r="K3" i="12" s="1"/>
  <c r="L3" i="12" s="1"/>
  <c r="M3" i="12" s="1"/>
  <c r="O3" i="12" s="1"/>
  <c r="P3" i="12" s="1"/>
  <c r="Q3" i="12" s="1"/>
  <c r="R3" i="12" s="1"/>
  <c r="T3" i="12" s="1"/>
  <c r="U3" i="12" s="1"/>
  <c r="V3" i="12" s="1"/>
  <c r="W3" i="12" s="1"/>
  <c r="Y3" i="12" s="1"/>
  <c r="Z3" i="12" s="1"/>
  <c r="AA3" i="12" s="1"/>
  <c r="AB3" i="12" s="1"/>
  <c r="AB2" i="12"/>
  <c r="AA2" i="12"/>
  <c r="Z2" i="12"/>
  <c r="Y2" i="12"/>
  <c r="W2" i="12"/>
  <c r="V2" i="12"/>
  <c r="U2" i="12"/>
  <c r="T2" i="12"/>
  <c r="R2" i="12"/>
  <c r="Q2" i="12"/>
  <c r="P2" i="12"/>
  <c r="O2" i="12"/>
  <c r="M2" i="12"/>
  <c r="L2" i="12"/>
  <c r="K2" i="12"/>
  <c r="J2" i="12"/>
  <c r="H2" i="12"/>
  <c r="G2" i="12"/>
  <c r="F2" i="12"/>
  <c r="E2" i="12"/>
  <c r="H1" i="12"/>
  <c r="C209" i="4"/>
  <c r="E198" i="4"/>
  <c r="B192" i="4"/>
  <c r="B200" i="4" s="1"/>
  <c r="B191" i="4"/>
  <c r="B199" i="4" s="1"/>
  <c r="B190" i="4"/>
  <c r="B198" i="4" s="1"/>
  <c r="H191" i="4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X176" i="4" s="1"/>
  <c r="E190" i="4"/>
  <c r="E192" i="4" s="1"/>
  <c r="F189" i="4" s="1"/>
  <c r="F190" i="4" s="1"/>
  <c r="F192" i="4" s="1"/>
  <c r="G189" i="4" s="1"/>
  <c r="F5" i="4"/>
  <c r="G5" i="4" s="1"/>
  <c r="X15" i="5"/>
  <c r="S15" i="5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C26" i="8"/>
  <c r="F3" i="5"/>
  <c r="G3" i="5" s="1"/>
  <c r="H3" i="5" s="1"/>
  <c r="J3" i="5" s="1"/>
  <c r="K3" i="5" s="1"/>
  <c r="L3" i="5" s="1"/>
  <c r="M3" i="5" s="1"/>
  <c r="O3" i="5" s="1"/>
  <c r="P3" i="5" s="1"/>
  <c r="Q3" i="5" s="1"/>
  <c r="R3" i="5" s="1"/>
  <c r="T3" i="5" s="1"/>
  <c r="U3" i="5" s="1"/>
  <c r="V3" i="5" s="1"/>
  <c r="W3" i="5" s="1"/>
  <c r="Y3" i="5" s="1"/>
  <c r="Z3" i="5" s="1"/>
  <c r="AA3" i="5" s="1"/>
  <c r="AB3" i="5" s="1"/>
  <c r="AB2" i="5"/>
  <c r="X53" i="4" s="1"/>
  <c r="AA2" i="5"/>
  <c r="W53" i="4" s="1"/>
  <c r="Z2" i="5"/>
  <c r="V53" i="4" s="1"/>
  <c r="Y2" i="5"/>
  <c r="U53" i="4" s="1"/>
  <c r="W2" i="5"/>
  <c r="V2" i="5"/>
  <c r="U2" i="5"/>
  <c r="T2" i="5"/>
  <c r="R2" i="5"/>
  <c r="Q2" i="5"/>
  <c r="P2" i="5"/>
  <c r="O2" i="5"/>
  <c r="M2" i="5"/>
  <c r="L2" i="5"/>
  <c r="K2" i="5"/>
  <c r="J2" i="5"/>
  <c r="H2" i="5"/>
  <c r="G2" i="5"/>
  <c r="F2" i="5"/>
  <c r="E2" i="5"/>
  <c r="C22" i="4"/>
  <c r="B82" i="4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E2" i="8"/>
  <c r="F2" i="8" s="1"/>
  <c r="G2" i="8" s="1"/>
  <c r="I2" i="8" s="1"/>
  <c r="J2" i="8" s="1"/>
  <c r="K2" i="8" s="1"/>
  <c r="L2" i="8" s="1"/>
  <c r="N2" i="8" s="1"/>
  <c r="O2" i="8" s="1"/>
  <c r="P2" i="8" s="1"/>
  <c r="Q2" i="8" s="1"/>
  <c r="S2" i="8" s="1"/>
  <c r="T2" i="8" s="1"/>
  <c r="U2" i="8" s="1"/>
  <c r="V2" i="8" s="1"/>
  <c r="X2" i="8" s="1"/>
  <c r="Y2" i="8" s="1"/>
  <c r="Z2" i="8" s="1"/>
  <c r="AA2" i="8" s="1"/>
  <c r="AA1" i="8"/>
  <c r="Z1" i="8"/>
  <c r="Y1" i="8"/>
  <c r="X1" i="8"/>
  <c r="V1" i="8"/>
  <c r="U1" i="8"/>
  <c r="T1" i="8"/>
  <c r="S1" i="8"/>
  <c r="Q1" i="8"/>
  <c r="P1" i="8"/>
  <c r="O1" i="8"/>
  <c r="N1" i="8"/>
  <c r="L1" i="8"/>
  <c r="K1" i="8"/>
  <c r="J1" i="8"/>
  <c r="I1" i="8"/>
  <c r="G1" i="8"/>
  <c r="F1" i="8"/>
  <c r="E1" i="8"/>
  <c r="D1" i="8"/>
  <c r="F29" i="12" l="1"/>
  <c r="C49" i="13"/>
  <c r="F30" i="12"/>
  <c r="K23" i="12"/>
  <c r="G7" i="12"/>
  <c r="G28" i="12" s="1"/>
  <c r="F28" i="12"/>
  <c r="G13" i="12"/>
  <c r="H13" i="12" s="1"/>
  <c r="F81" i="11"/>
  <c r="C30" i="13"/>
  <c r="H31" i="10"/>
  <c r="H33" i="10" s="1"/>
  <c r="H35" i="10" s="1"/>
  <c r="H80" i="11" s="1"/>
  <c r="H59" i="10"/>
  <c r="H63" i="10" s="1"/>
  <c r="K31" i="10"/>
  <c r="K33" i="10" s="1"/>
  <c r="K35" i="10" s="1"/>
  <c r="K80" i="11" s="1"/>
  <c r="K59" i="10"/>
  <c r="K63" i="10" s="1"/>
  <c r="K72" i="10" s="1"/>
  <c r="T46" i="10"/>
  <c r="T48" i="10" s="1"/>
  <c r="T60" i="10"/>
  <c r="T64" i="10" s="1"/>
  <c r="W31" i="10"/>
  <c r="W33" i="10" s="1"/>
  <c r="W35" i="10" s="1"/>
  <c r="W80" i="11" s="1"/>
  <c r="W59" i="10"/>
  <c r="W63" i="10" s="1"/>
  <c r="AA31" i="10"/>
  <c r="AA33" i="10" s="1"/>
  <c r="AA35" i="10" s="1"/>
  <c r="AA80" i="11" s="1"/>
  <c r="AA59" i="10"/>
  <c r="AA63" i="10" s="1"/>
  <c r="L31" i="10"/>
  <c r="L33" i="10" s="1"/>
  <c r="L35" i="10" s="1"/>
  <c r="L80" i="11" s="1"/>
  <c r="L59" i="10"/>
  <c r="L63" i="10" s="1"/>
  <c r="V31" i="10"/>
  <c r="V33" i="10" s="1"/>
  <c r="V35" i="10" s="1"/>
  <c r="V80" i="11" s="1"/>
  <c r="V59" i="10"/>
  <c r="V63" i="10" s="1"/>
  <c r="AB46" i="10"/>
  <c r="AB48" i="10" s="1"/>
  <c r="AB60" i="10"/>
  <c r="AB64" i="10" s="1"/>
  <c r="L46" i="10"/>
  <c r="L48" i="10" s="1"/>
  <c r="L60" i="10"/>
  <c r="L64" i="10" s="1"/>
  <c r="Q31" i="10"/>
  <c r="Q33" i="10" s="1"/>
  <c r="Q35" i="10" s="1"/>
  <c r="Q80" i="11" s="1"/>
  <c r="Q59" i="10"/>
  <c r="Q63" i="10" s="1"/>
  <c r="AB31" i="10"/>
  <c r="AB33" i="10" s="1"/>
  <c r="AB35" i="10" s="1"/>
  <c r="AB80" i="11" s="1"/>
  <c r="AB59" i="10"/>
  <c r="AB63" i="10" s="1"/>
  <c r="O46" i="10"/>
  <c r="O48" i="10" s="1"/>
  <c r="O60" i="10"/>
  <c r="O64" i="10" s="1"/>
  <c r="J31" i="10"/>
  <c r="J33" i="10" s="1"/>
  <c r="J35" i="10" s="1"/>
  <c r="J80" i="11" s="1"/>
  <c r="J59" i="10"/>
  <c r="J63" i="10" s="1"/>
  <c r="J72" i="10" s="1"/>
  <c r="W46" i="10"/>
  <c r="W48" i="10" s="1"/>
  <c r="W60" i="10"/>
  <c r="W64" i="10" s="1"/>
  <c r="Y31" i="10"/>
  <c r="Y33" i="10" s="1"/>
  <c r="Y35" i="10" s="1"/>
  <c r="Y80" i="11" s="1"/>
  <c r="Y59" i="10"/>
  <c r="Y63" i="10" s="1"/>
  <c r="Y72" i="10" s="1"/>
  <c r="Q46" i="10"/>
  <c r="Q48" i="10" s="1"/>
  <c r="Q60" i="10"/>
  <c r="Q64" i="10" s="1"/>
  <c r="Z46" i="10"/>
  <c r="Z48" i="10" s="1"/>
  <c r="Z60" i="10"/>
  <c r="Z64" i="10" s="1"/>
  <c r="Z65" i="10" s="1"/>
  <c r="Y46" i="10"/>
  <c r="Y48" i="10" s="1"/>
  <c r="Y60" i="10"/>
  <c r="Y64" i="10" s="1"/>
  <c r="K46" i="10"/>
  <c r="K48" i="10" s="1"/>
  <c r="K60" i="10"/>
  <c r="K64" i="10" s="1"/>
  <c r="K65" i="10" s="1"/>
  <c r="R46" i="10"/>
  <c r="R48" i="10" s="1"/>
  <c r="R60" i="10"/>
  <c r="R64" i="10" s="1"/>
  <c r="Z31" i="10"/>
  <c r="Z33" i="10" s="1"/>
  <c r="Z35" i="10" s="1"/>
  <c r="Z80" i="11" s="1"/>
  <c r="Z59" i="10"/>
  <c r="Z63" i="10" s="1"/>
  <c r="Z72" i="10" s="1"/>
  <c r="AA46" i="10"/>
  <c r="AA48" i="10" s="1"/>
  <c r="AA60" i="10"/>
  <c r="AA64" i="10" s="1"/>
  <c r="T31" i="10"/>
  <c r="T33" i="10" s="1"/>
  <c r="T35" i="10" s="1"/>
  <c r="T80" i="11" s="1"/>
  <c r="T59" i="10"/>
  <c r="T63" i="10" s="1"/>
  <c r="T72" i="10" s="1"/>
  <c r="P46" i="10"/>
  <c r="P48" i="10" s="1"/>
  <c r="P60" i="10"/>
  <c r="P64" i="10" s="1"/>
  <c r="P31" i="10"/>
  <c r="P33" i="10" s="1"/>
  <c r="P35" i="10" s="1"/>
  <c r="P80" i="11" s="1"/>
  <c r="P59" i="10"/>
  <c r="P63" i="10" s="1"/>
  <c r="P72" i="10" s="1"/>
  <c r="U46" i="10"/>
  <c r="U48" i="10" s="1"/>
  <c r="U60" i="10"/>
  <c r="U64" i="10" s="1"/>
  <c r="U65" i="10" s="1"/>
  <c r="M46" i="10"/>
  <c r="M48" i="10" s="1"/>
  <c r="M60" i="10"/>
  <c r="M64" i="10" s="1"/>
  <c r="H46" i="10"/>
  <c r="H48" i="10" s="1"/>
  <c r="H60" i="10"/>
  <c r="H64" i="10" s="1"/>
  <c r="O31" i="10"/>
  <c r="O33" i="10" s="1"/>
  <c r="O35" i="10" s="1"/>
  <c r="O80" i="11" s="1"/>
  <c r="O59" i="10"/>
  <c r="O63" i="10" s="1"/>
  <c r="O72" i="10" s="1"/>
  <c r="M31" i="10"/>
  <c r="M33" i="10" s="1"/>
  <c r="M35" i="10" s="1"/>
  <c r="M80" i="11" s="1"/>
  <c r="M59" i="10"/>
  <c r="M63" i="10" s="1"/>
  <c r="R31" i="10"/>
  <c r="R33" i="10" s="1"/>
  <c r="R35" i="10" s="1"/>
  <c r="R80" i="11" s="1"/>
  <c r="R59" i="10"/>
  <c r="R63" i="10" s="1"/>
  <c r="J46" i="10"/>
  <c r="J48" i="10" s="1"/>
  <c r="J60" i="10"/>
  <c r="J64" i="10" s="1"/>
  <c r="E46" i="10"/>
  <c r="E48" i="10" s="1"/>
  <c r="E55" i="10" s="1"/>
  <c r="E49" i="7" s="1"/>
  <c r="E59" i="10"/>
  <c r="G46" i="10"/>
  <c r="G48" i="10" s="1"/>
  <c r="G60" i="10"/>
  <c r="G64" i="10" s="1"/>
  <c r="F46" i="10"/>
  <c r="F48" i="10" s="1"/>
  <c r="F55" i="10" s="1"/>
  <c r="F49" i="7" s="1"/>
  <c r="F59" i="10"/>
  <c r="U90" i="4"/>
  <c r="U111" i="4"/>
  <c r="V90" i="4"/>
  <c r="V111" i="4"/>
  <c r="X90" i="4"/>
  <c r="X111" i="4"/>
  <c r="W90" i="4"/>
  <c r="W111" i="4"/>
  <c r="M3" i="11"/>
  <c r="K136" i="4"/>
  <c r="U1" i="7"/>
  <c r="Y1" i="7"/>
  <c r="Y34" i="11" s="1"/>
  <c r="O10" i="7"/>
  <c r="O14" i="7" s="1"/>
  <c r="H7" i="12"/>
  <c r="H28" i="12" s="1"/>
  <c r="G37" i="5"/>
  <c r="E81" i="11"/>
  <c r="E37" i="5"/>
  <c r="E50" i="7"/>
  <c r="E31" i="12"/>
  <c r="F50" i="7"/>
  <c r="R9" i="12"/>
  <c r="H24" i="12"/>
  <c r="H30" i="12" s="1"/>
  <c r="G50" i="7"/>
  <c r="G14" i="12"/>
  <c r="H14" i="12" s="1"/>
  <c r="I14" i="12" s="1"/>
  <c r="J14" i="12" s="1"/>
  <c r="K14" i="12" s="1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AA14" i="12" s="1"/>
  <c r="AB14" i="12" s="1"/>
  <c r="AC14" i="12" s="1"/>
  <c r="H5" i="4"/>
  <c r="I5" i="4" s="1"/>
  <c r="J5" i="4" s="1"/>
  <c r="K5" i="4" s="1"/>
  <c r="L5" i="4" s="1"/>
  <c r="M5" i="4" s="1"/>
  <c r="N5" i="4" s="1"/>
  <c r="O5" i="4" s="1"/>
  <c r="P5" i="4" s="1"/>
  <c r="O176" i="4"/>
  <c r="P176" i="4"/>
  <c r="Q176" i="4"/>
  <c r="R176" i="4"/>
  <c r="S176" i="4"/>
  <c r="T176" i="4"/>
  <c r="V176" i="4"/>
  <c r="U176" i="4"/>
  <c r="M176" i="4"/>
  <c r="W176" i="4"/>
  <c r="N176" i="4"/>
  <c r="E199" i="4"/>
  <c r="E200" i="4" s="1"/>
  <c r="F197" i="4" s="1"/>
  <c r="G190" i="4"/>
  <c r="G192" i="4" l="1"/>
  <c r="H189" i="4" s="1"/>
  <c r="H190" i="4" s="1"/>
  <c r="H192" i="4" s="1"/>
  <c r="I189" i="4" s="1"/>
  <c r="G29" i="12"/>
  <c r="G31" i="12"/>
  <c r="H29" i="12"/>
  <c r="H81" i="11" s="1"/>
  <c r="G32" i="5"/>
  <c r="G115" i="4" s="1"/>
  <c r="G120" i="4" s="1"/>
  <c r="G81" i="11"/>
  <c r="L23" i="12"/>
  <c r="Q5" i="4"/>
  <c r="R5" i="4" s="1"/>
  <c r="S5" i="4" s="1"/>
  <c r="T5" i="4" s="1"/>
  <c r="U5" i="4" s="1"/>
  <c r="V5" i="4" s="1"/>
  <c r="W5" i="4" s="1"/>
  <c r="X5" i="4" s="1"/>
  <c r="P65" i="10"/>
  <c r="G65" i="10"/>
  <c r="G73" i="10"/>
  <c r="M65" i="10"/>
  <c r="M72" i="10"/>
  <c r="Q65" i="10"/>
  <c r="Q72" i="10"/>
  <c r="AA65" i="10"/>
  <c r="AA72" i="10"/>
  <c r="Y65" i="10"/>
  <c r="T65" i="10"/>
  <c r="W65" i="10"/>
  <c r="W72" i="10"/>
  <c r="J65" i="10"/>
  <c r="O65" i="10"/>
  <c r="V65" i="10"/>
  <c r="V72" i="10"/>
  <c r="R65" i="10"/>
  <c r="R72" i="10"/>
  <c r="AB65" i="10"/>
  <c r="AB72" i="10"/>
  <c r="L65" i="10"/>
  <c r="L72" i="10"/>
  <c r="H65" i="10"/>
  <c r="H72" i="10"/>
  <c r="J61" i="10"/>
  <c r="W61" i="10"/>
  <c r="U61" i="10"/>
  <c r="O61" i="10"/>
  <c r="AB61" i="10"/>
  <c r="P61" i="10"/>
  <c r="R61" i="10"/>
  <c r="L61" i="10"/>
  <c r="Q61" i="10"/>
  <c r="AA61" i="10"/>
  <c r="H61" i="10"/>
  <c r="Z61" i="10"/>
  <c r="V61" i="10"/>
  <c r="G61" i="10"/>
  <c r="M61" i="10"/>
  <c r="K61" i="10"/>
  <c r="Y61" i="10"/>
  <c r="T61" i="10"/>
  <c r="F37" i="5"/>
  <c r="F31" i="12"/>
  <c r="O3" i="11"/>
  <c r="P3" i="11" s="1"/>
  <c r="Q3" i="11" s="1"/>
  <c r="R3" i="11" s="1"/>
  <c r="T3" i="11" s="1"/>
  <c r="U3" i="11" s="1"/>
  <c r="V3" i="11" s="1"/>
  <c r="W3" i="11" s="1"/>
  <c r="Y3" i="11" s="1"/>
  <c r="Z3" i="11" s="1"/>
  <c r="AA3" i="11" s="1"/>
  <c r="AB3" i="11" s="1"/>
  <c r="L136" i="4"/>
  <c r="Z1" i="7"/>
  <c r="Z34" i="11" s="1"/>
  <c r="P10" i="7"/>
  <c r="P14" i="7" s="1"/>
  <c r="I7" i="12"/>
  <c r="J7" i="12" s="1"/>
  <c r="J28" i="12" s="1"/>
  <c r="I24" i="12"/>
  <c r="J24" i="12" s="1"/>
  <c r="J30" i="12" s="1"/>
  <c r="H50" i="7"/>
  <c r="S9" i="12"/>
  <c r="T9" i="12" s="1"/>
  <c r="I13" i="12"/>
  <c r="J13" i="12" s="1"/>
  <c r="J29" i="12" s="1"/>
  <c r="F198" i="4"/>
  <c r="F199" i="4" s="1"/>
  <c r="G11" i="7"/>
  <c r="G7" i="7" s="1"/>
  <c r="F11" i="7"/>
  <c r="AB11" i="7"/>
  <c r="AA11" i="7"/>
  <c r="Z11" i="7"/>
  <c r="Y11" i="7"/>
  <c r="W11" i="7"/>
  <c r="V11" i="7"/>
  <c r="U11" i="7"/>
  <c r="T11" i="7"/>
  <c r="R11" i="7"/>
  <c r="Q11" i="7"/>
  <c r="P11" i="7"/>
  <c r="O11" i="7"/>
  <c r="M11" i="7"/>
  <c r="L11" i="7"/>
  <c r="K11" i="7"/>
  <c r="J11" i="7"/>
  <c r="H11" i="7"/>
  <c r="E11" i="7"/>
  <c r="AG4" i="7"/>
  <c r="F2" i="11"/>
  <c r="G2" i="11" s="1"/>
  <c r="H2" i="11" s="1"/>
  <c r="J2" i="11" s="1"/>
  <c r="K2" i="11" s="1"/>
  <c r="L2" i="11" s="1"/>
  <c r="M2" i="11" s="1"/>
  <c r="O2" i="11" s="1"/>
  <c r="P2" i="11" s="1"/>
  <c r="Q2" i="11" s="1"/>
  <c r="R2" i="11" s="1"/>
  <c r="T2" i="11" s="1"/>
  <c r="U2" i="11" s="1"/>
  <c r="V2" i="11" s="1"/>
  <c r="W2" i="11" s="1"/>
  <c r="Y2" i="11" s="1"/>
  <c r="Z2" i="11" s="1"/>
  <c r="AA2" i="11" s="1"/>
  <c r="AB2" i="11" s="1"/>
  <c r="AB69" i="11"/>
  <c r="AA69" i="11"/>
  <c r="Z69" i="11"/>
  <c r="Y69" i="11"/>
  <c r="W69" i="11"/>
  <c r="V69" i="11"/>
  <c r="U69" i="11"/>
  <c r="T69" i="11"/>
  <c r="R69" i="11"/>
  <c r="Q69" i="11"/>
  <c r="P69" i="11"/>
  <c r="O69" i="11"/>
  <c r="M69" i="11"/>
  <c r="L69" i="11"/>
  <c r="K69" i="11"/>
  <c r="J69" i="11"/>
  <c r="H69" i="11"/>
  <c r="G69" i="11"/>
  <c r="F69" i="11"/>
  <c r="E69" i="11"/>
  <c r="AB68" i="11"/>
  <c r="AA68" i="11"/>
  <c r="Z68" i="11"/>
  <c r="Y68" i="11"/>
  <c r="W68" i="11"/>
  <c r="V68" i="11"/>
  <c r="U68" i="11"/>
  <c r="T68" i="11"/>
  <c r="R68" i="11"/>
  <c r="Q68" i="11"/>
  <c r="P68" i="11"/>
  <c r="O68" i="11"/>
  <c r="M68" i="11"/>
  <c r="L68" i="11"/>
  <c r="K68" i="11"/>
  <c r="J68" i="11"/>
  <c r="G68" i="11"/>
  <c r="F68" i="11"/>
  <c r="E68" i="11"/>
  <c r="AB67" i="11"/>
  <c r="AA67" i="11"/>
  <c r="Z67" i="11"/>
  <c r="Y67" i="11"/>
  <c r="W67" i="11"/>
  <c r="V67" i="11"/>
  <c r="U67" i="11"/>
  <c r="T67" i="11"/>
  <c r="Q67" i="11"/>
  <c r="P67" i="11"/>
  <c r="O67" i="11"/>
  <c r="M67" i="11"/>
  <c r="L67" i="11"/>
  <c r="K67" i="11"/>
  <c r="J67" i="11"/>
  <c r="H67" i="11"/>
  <c r="G67" i="11"/>
  <c r="F67" i="11"/>
  <c r="E67" i="11"/>
  <c r="AB66" i="11"/>
  <c r="AA66" i="11"/>
  <c r="Z66" i="11"/>
  <c r="Y66" i="11"/>
  <c r="W66" i="11"/>
  <c r="V66" i="11"/>
  <c r="U66" i="11"/>
  <c r="T66" i="11"/>
  <c r="R66" i="11"/>
  <c r="Q66" i="11"/>
  <c r="O66" i="11"/>
  <c r="M66" i="11"/>
  <c r="L66" i="11"/>
  <c r="H66" i="11"/>
  <c r="C57" i="11"/>
  <c r="C63" i="11" s="1"/>
  <c r="E62" i="11" s="1"/>
  <c r="C35" i="11"/>
  <c r="C37" i="11" s="1"/>
  <c r="E33" i="11" s="1"/>
  <c r="E35" i="11" s="1"/>
  <c r="J48" i="11"/>
  <c r="F60" i="4"/>
  <c r="H31" i="12" l="1"/>
  <c r="I29" i="12"/>
  <c r="M23" i="12"/>
  <c r="G76" i="10"/>
  <c r="G77" i="10" s="1"/>
  <c r="G53" i="10" s="1"/>
  <c r="G55" i="10" s="1"/>
  <c r="G49" i="7" s="1"/>
  <c r="G31" i="5" s="1"/>
  <c r="G114" i="4" s="1"/>
  <c r="G119" i="4" s="1"/>
  <c r="G55" i="11"/>
  <c r="G57" i="11" s="1"/>
  <c r="G74" i="10"/>
  <c r="H70" i="10" s="1"/>
  <c r="F200" i="4"/>
  <c r="G197" i="4" s="1"/>
  <c r="G198" i="4" s="1"/>
  <c r="G199" i="4" s="1"/>
  <c r="G48" i="7"/>
  <c r="G30" i="5" s="1"/>
  <c r="G113" i="4" s="1"/>
  <c r="G118" i="4" s="1"/>
  <c r="G33" i="7"/>
  <c r="G26" i="7"/>
  <c r="G47" i="7" s="1"/>
  <c r="G29" i="5" s="1"/>
  <c r="G112" i="4" s="1"/>
  <c r="G117" i="4" s="1"/>
  <c r="G28" i="7"/>
  <c r="M136" i="4"/>
  <c r="AA28" i="11"/>
  <c r="AA61" i="11" s="1"/>
  <c r="AA25" i="11"/>
  <c r="AA42" i="11" s="1"/>
  <c r="AA27" i="11"/>
  <c r="AA71" i="10" s="1"/>
  <c r="AA54" i="11" s="1"/>
  <c r="AA26" i="11"/>
  <c r="AA48" i="11" s="1"/>
  <c r="W27" i="11"/>
  <c r="W71" i="10" s="1"/>
  <c r="W54" i="11" s="1"/>
  <c r="W26" i="11"/>
  <c r="W48" i="11" s="1"/>
  <c r="W28" i="11"/>
  <c r="W61" i="11" s="1"/>
  <c r="W25" i="11"/>
  <c r="W42" i="11" s="1"/>
  <c r="W36" i="11"/>
  <c r="AA36" i="11"/>
  <c r="T36" i="11"/>
  <c r="T42" i="11"/>
  <c r="Y42" i="11"/>
  <c r="Y36" i="11"/>
  <c r="Z82" i="11"/>
  <c r="Z36" i="11"/>
  <c r="U36" i="11"/>
  <c r="O36" i="11"/>
  <c r="P36" i="11"/>
  <c r="Q10" i="7"/>
  <c r="Q14" i="7" s="1"/>
  <c r="K7" i="12"/>
  <c r="K28" i="12" s="1"/>
  <c r="I30" i="12"/>
  <c r="I50" i="7" s="1"/>
  <c r="H37" i="5"/>
  <c r="I28" i="12"/>
  <c r="K13" i="12"/>
  <c r="K29" i="12" s="1"/>
  <c r="U9" i="12"/>
  <c r="K24" i="12"/>
  <c r="K30" i="12" s="1"/>
  <c r="R21" i="5"/>
  <c r="P91" i="4" s="1"/>
  <c r="W21" i="5"/>
  <c r="T91" i="4" s="1"/>
  <c r="I190" i="4"/>
  <c r="I192" i="4" s="1"/>
  <c r="J189" i="4" s="1"/>
  <c r="G60" i="4"/>
  <c r="I60" i="4" s="1"/>
  <c r="U42" i="11"/>
  <c r="W82" i="11"/>
  <c r="Z48" i="11"/>
  <c r="W79" i="11"/>
  <c r="F82" i="11"/>
  <c r="Z42" i="11"/>
  <c r="P48" i="11"/>
  <c r="E79" i="11"/>
  <c r="F79" i="11"/>
  <c r="E82" i="11"/>
  <c r="E26" i="5" s="1"/>
  <c r="E95" i="4" s="1"/>
  <c r="E100" i="4" s="1"/>
  <c r="M42" i="11"/>
  <c r="M82" i="11"/>
  <c r="M79" i="11"/>
  <c r="G82" i="11"/>
  <c r="G79" i="11"/>
  <c r="G78" i="11"/>
  <c r="G21" i="5" s="1"/>
  <c r="G91" i="4" s="1"/>
  <c r="T82" i="11"/>
  <c r="U82" i="11"/>
  <c r="J79" i="11"/>
  <c r="J82" i="11"/>
  <c r="K82" i="11"/>
  <c r="T79" i="11"/>
  <c r="Y79" i="11"/>
  <c r="L82" i="11"/>
  <c r="T48" i="11"/>
  <c r="AA79" i="11"/>
  <c r="O82" i="11"/>
  <c r="AA82" i="11"/>
  <c r="U79" i="11"/>
  <c r="K79" i="11"/>
  <c r="L79" i="11"/>
  <c r="Y82" i="11"/>
  <c r="Z79" i="11"/>
  <c r="O79" i="11"/>
  <c r="U48" i="11"/>
  <c r="P79" i="11"/>
  <c r="P82" i="11"/>
  <c r="J42" i="11"/>
  <c r="F48" i="11"/>
  <c r="O48" i="11"/>
  <c r="K42" i="11"/>
  <c r="K48" i="11"/>
  <c r="Y48" i="11"/>
  <c r="F34" i="7"/>
  <c r="AG5" i="7"/>
  <c r="I37" i="5" l="1"/>
  <c r="D10" i="13" s="1"/>
  <c r="N23" i="12"/>
  <c r="O23" i="12" s="1"/>
  <c r="H73" i="10"/>
  <c r="H53" i="11"/>
  <c r="Q36" i="11"/>
  <c r="N136" i="4"/>
  <c r="Q26" i="11"/>
  <c r="Q48" i="11" s="1"/>
  <c r="Q28" i="11"/>
  <c r="Q61" i="11" s="1"/>
  <c r="Q27" i="11"/>
  <c r="Q71" i="10" s="1"/>
  <c r="Q54" i="11" s="1"/>
  <c r="Q25" i="11"/>
  <c r="Q42" i="11" s="1"/>
  <c r="AB28" i="11"/>
  <c r="AB61" i="11" s="1"/>
  <c r="AB25" i="11"/>
  <c r="AB42" i="11" s="1"/>
  <c r="AB27" i="11"/>
  <c r="AB71" i="10" s="1"/>
  <c r="AB54" i="11" s="1"/>
  <c r="AB26" i="11"/>
  <c r="AB48" i="11" s="1"/>
  <c r="V27" i="11"/>
  <c r="V71" i="10" s="1"/>
  <c r="V54" i="11" s="1"/>
  <c r="V28" i="11"/>
  <c r="V61" i="11" s="1"/>
  <c r="V26" i="11"/>
  <c r="V48" i="11" s="1"/>
  <c r="V25" i="11"/>
  <c r="V42" i="11" s="1"/>
  <c r="R26" i="11"/>
  <c r="R48" i="11" s="1"/>
  <c r="R25" i="11"/>
  <c r="R42" i="11" s="1"/>
  <c r="R27" i="11"/>
  <c r="R71" i="10" s="1"/>
  <c r="R54" i="11" s="1"/>
  <c r="R28" i="11"/>
  <c r="R61" i="11" s="1"/>
  <c r="AB36" i="11"/>
  <c r="R36" i="11"/>
  <c r="V36" i="11"/>
  <c r="R10" i="7"/>
  <c r="R14" i="7" s="1"/>
  <c r="J50" i="7"/>
  <c r="J37" i="5"/>
  <c r="I31" i="12"/>
  <c r="L7" i="12"/>
  <c r="L28" i="12" s="1"/>
  <c r="K37" i="5"/>
  <c r="H42" i="11"/>
  <c r="L24" i="12"/>
  <c r="L30" i="12" s="1"/>
  <c r="K50" i="7"/>
  <c r="V9" i="12"/>
  <c r="J81" i="11"/>
  <c r="J31" i="12"/>
  <c r="L13" i="12"/>
  <c r="L29" i="12" s="1"/>
  <c r="G200" i="4"/>
  <c r="H197" i="4" s="1"/>
  <c r="J190" i="4"/>
  <c r="J192" i="4" s="1"/>
  <c r="K189" i="4" s="1"/>
  <c r="G42" i="11"/>
  <c r="E150" i="4"/>
  <c r="J60" i="4"/>
  <c r="K60" i="4" s="1"/>
  <c r="L60" i="4" s="1"/>
  <c r="M60" i="4" s="1"/>
  <c r="V82" i="11"/>
  <c r="V79" i="11"/>
  <c r="R82" i="11"/>
  <c r="R79" i="11"/>
  <c r="Q82" i="11"/>
  <c r="Q79" i="11"/>
  <c r="AB82" i="11"/>
  <c r="AB79" i="11"/>
  <c r="AA78" i="11"/>
  <c r="C177" i="4"/>
  <c r="C48" i="4"/>
  <c r="B174" i="4"/>
  <c r="B189" i="4" s="1"/>
  <c r="B197" i="4" s="1"/>
  <c r="B205" i="4" s="1"/>
  <c r="H76" i="10" l="1"/>
  <c r="H77" i="10" s="1"/>
  <c r="H53" i="10" s="1"/>
  <c r="H55" i="10" s="1"/>
  <c r="H49" i="7" s="1"/>
  <c r="H54" i="7" s="1"/>
  <c r="H74" i="10"/>
  <c r="J70" i="10" s="1"/>
  <c r="H55" i="11"/>
  <c r="H57" i="11"/>
  <c r="P23" i="12"/>
  <c r="E73" i="11"/>
  <c r="O136" i="4"/>
  <c r="Q78" i="11"/>
  <c r="Q21" i="5" s="1"/>
  <c r="O91" i="4" s="1"/>
  <c r="V78" i="11"/>
  <c r="V21" i="5" s="1"/>
  <c r="S91" i="4" s="1"/>
  <c r="T10" i="7"/>
  <c r="T14" i="7" s="1"/>
  <c r="M7" i="12"/>
  <c r="M28" i="12" s="1"/>
  <c r="L37" i="5"/>
  <c r="M13" i="12"/>
  <c r="M29" i="12" s="1"/>
  <c r="W9" i="12"/>
  <c r="K81" i="11"/>
  <c r="K31" i="12"/>
  <c r="M24" i="12"/>
  <c r="M30" i="12" s="1"/>
  <c r="L50" i="7"/>
  <c r="H198" i="4"/>
  <c r="H199" i="4" s="1"/>
  <c r="K190" i="4"/>
  <c r="K192" i="4" s="1"/>
  <c r="L189" i="4" s="1"/>
  <c r="E205" i="4"/>
  <c r="E174" i="4" s="1"/>
  <c r="F38" i="5"/>
  <c r="G38" i="5" s="1"/>
  <c r="H38" i="5" s="1"/>
  <c r="J38" i="5" s="1"/>
  <c r="N60" i="4"/>
  <c r="O60" i="4" s="1"/>
  <c r="Q23" i="12" l="1"/>
  <c r="J53" i="11"/>
  <c r="J73" i="10"/>
  <c r="E57" i="11"/>
  <c r="P136" i="4"/>
  <c r="U10" i="7"/>
  <c r="U14" i="7" s="1"/>
  <c r="N7" i="12"/>
  <c r="O7" i="12" s="1"/>
  <c r="O28" i="12" s="1"/>
  <c r="N24" i="12"/>
  <c r="O24" i="12" s="1"/>
  <c r="O30" i="12" s="1"/>
  <c r="M50" i="7"/>
  <c r="X9" i="12"/>
  <c r="Y9" i="12" s="1"/>
  <c r="L81" i="11"/>
  <c r="L31" i="12"/>
  <c r="N13" i="12"/>
  <c r="O13" i="12" s="1"/>
  <c r="O29" i="12" s="1"/>
  <c r="N29" i="12"/>
  <c r="N81" i="11" s="1"/>
  <c r="I38" i="5"/>
  <c r="D11" i="13" s="1"/>
  <c r="H200" i="4"/>
  <c r="I197" i="4" s="1"/>
  <c r="E206" i="4"/>
  <c r="C210" i="4"/>
  <c r="L190" i="4"/>
  <c r="L192" i="4" s="1"/>
  <c r="M189" i="4" s="1"/>
  <c r="K38" i="5"/>
  <c r="L38" i="5" s="1"/>
  <c r="M38" i="5" s="1"/>
  <c r="O38" i="5" s="1"/>
  <c r="P60" i="4"/>
  <c r="J55" i="11" l="1"/>
  <c r="J76" i="10"/>
  <c r="J77" i="10" s="1"/>
  <c r="J53" i="10" s="1"/>
  <c r="J55" i="10" s="1"/>
  <c r="J49" i="7" s="1"/>
  <c r="J74" i="10"/>
  <c r="K70" i="10" s="1"/>
  <c r="J57" i="11"/>
  <c r="R23" i="12"/>
  <c r="Q136" i="4"/>
  <c r="V10" i="7"/>
  <c r="V14" i="7" s="1"/>
  <c r="M37" i="5"/>
  <c r="N37" i="5" s="1"/>
  <c r="E10" i="13" s="1"/>
  <c r="N28" i="12"/>
  <c r="N30" i="12"/>
  <c r="N50" i="7" s="1"/>
  <c r="P7" i="12"/>
  <c r="P28" i="12" s="1"/>
  <c r="P13" i="12"/>
  <c r="P29" i="12" s="1"/>
  <c r="O81" i="11"/>
  <c r="I198" i="4"/>
  <c r="I199" i="4" s="1"/>
  <c r="M81" i="11"/>
  <c r="M31" i="12"/>
  <c r="Z9" i="12"/>
  <c r="P24" i="12"/>
  <c r="P30" i="12" s="1"/>
  <c r="J207" i="4"/>
  <c r="H207" i="4"/>
  <c r="G207" i="4"/>
  <c r="I207" i="4"/>
  <c r="F207" i="4"/>
  <c r="E207" i="4"/>
  <c r="E208" i="4" s="1"/>
  <c r="F205" i="4" s="1"/>
  <c r="M190" i="4"/>
  <c r="M192" i="4" s="1"/>
  <c r="N189" i="4" s="1"/>
  <c r="P38" i="5"/>
  <c r="Q38" i="5" s="1"/>
  <c r="R38" i="5" s="1"/>
  <c r="T38" i="5" s="1"/>
  <c r="N38" i="5"/>
  <c r="E11" i="13" s="1"/>
  <c r="Q60" i="4"/>
  <c r="F73" i="11"/>
  <c r="K73" i="10" l="1"/>
  <c r="K53" i="11"/>
  <c r="K74" i="10"/>
  <c r="L70" i="10" s="1"/>
  <c r="S23" i="12"/>
  <c r="T23" i="12" s="1"/>
  <c r="R136" i="4"/>
  <c r="W10" i="7"/>
  <c r="W14" i="7" s="1"/>
  <c r="O50" i="7"/>
  <c r="O37" i="5"/>
  <c r="Q7" i="12"/>
  <c r="Q28" i="12" s="1"/>
  <c r="P37" i="5"/>
  <c r="N31" i="12"/>
  <c r="O31" i="12"/>
  <c r="Q13" i="12"/>
  <c r="Q29" i="12" s="1"/>
  <c r="AA9" i="12"/>
  <c r="Q24" i="12"/>
  <c r="Q30" i="12" s="1"/>
  <c r="P50" i="7"/>
  <c r="I200" i="4"/>
  <c r="J197" i="4" s="1"/>
  <c r="J198" i="4" s="1"/>
  <c r="J199" i="4" s="1"/>
  <c r="S38" i="5"/>
  <c r="F11" i="13" s="1"/>
  <c r="F206" i="4"/>
  <c r="F208" i="4" s="1"/>
  <c r="N190" i="4"/>
  <c r="N192" i="4" s="1"/>
  <c r="O189" i="4" s="1"/>
  <c r="U38" i="5"/>
  <c r="V38" i="5" s="1"/>
  <c r="W38" i="5" s="1"/>
  <c r="Y38" i="5" s="1"/>
  <c r="R60" i="4"/>
  <c r="S60" i="4" s="1"/>
  <c r="T60" i="4" s="1"/>
  <c r="U60" i="4" s="1"/>
  <c r="G205" i="4" l="1"/>
  <c r="G206" i="4" s="1"/>
  <c r="G208" i="4" s="1"/>
  <c r="L73" i="10"/>
  <c r="L74" i="10" s="1"/>
  <c r="M70" i="10" s="1"/>
  <c r="L53" i="11"/>
  <c r="U23" i="12"/>
  <c r="K55" i="11"/>
  <c r="K57" i="11" s="1"/>
  <c r="K76" i="10"/>
  <c r="K77" i="10" s="1"/>
  <c r="K53" i="10" s="1"/>
  <c r="K55" i="10" s="1"/>
  <c r="K49" i="7" s="1"/>
  <c r="G73" i="11"/>
  <c r="S136" i="4"/>
  <c r="Y10" i="7"/>
  <c r="Y14" i="7" s="1"/>
  <c r="R7" i="12"/>
  <c r="R28" i="12" s="1"/>
  <c r="Q37" i="5"/>
  <c r="J200" i="4"/>
  <c r="K197" i="4" s="1"/>
  <c r="R24" i="12"/>
  <c r="R30" i="12" s="1"/>
  <c r="Q50" i="7"/>
  <c r="AB9" i="12"/>
  <c r="P81" i="11"/>
  <c r="P31" i="12"/>
  <c r="R13" i="12"/>
  <c r="R29" i="12" s="1"/>
  <c r="O190" i="4"/>
  <c r="O192" i="4" s="1"/>
  <c r="P189" i="4" s="1"/>
  <c r="Z38" i="5"/>
  <c r="AA38" i="5" s="1"/>
  <c r="AB38" i="5" s="1"/>
  <c r="X38" i="5"/>
  <c r="G11" i="13" s="1"/>
  <c r="V60" i="4"/>
  <c r="W60" i="4" s="1"/>
  <c r="X60" i="4" s="1"/>
  <c r="H205" i="4" l="1"/>
  <c r="H206" i="4" s="1"/>
  <c r="H208" i="4" s="1"/>
  <c r="I205" i="4" s="1"/>
  <c r="I206" i="4" s="1"/>
  <c r="I208" i="4" s="1"/>
  <c r="J205" i="4" s="1"/>
  <c r="J206" i="4" s="1"/>
  <c r="J208" i="4" s="1"/>
  <c r="K205" i="4" s="1"/>
  <c r="K206" i="4" s="1"/>
  <c r="V23" i="12"/>
  <c r="M73" i="10"/>
  <c r="M53" i="11"/>
  <c r="M74" i="10"/>
  <c r="O70" i="10" s="1"/>
  <c r="L55" i="11"/>
  <c r="L57" i="11" s="1"/>
  <c r="L76" i="10"/>
  <c r="L77" i="10" s="1"/>
  <c r="L53" i="10" s="1"/>
  <c r="L55" i="10" s="1"/>
  <c r="L49" i="7" s="1"/>
  <c r="T136" i="4"/>
  <c r="Z10" i="7"/>
  <c r="Z14" i="7" s="1"/>
  <c r="S7" i="12"/>
  <c r="T7" i="12" s="1"/>
  <c r="T28" i="12" s="1"/>
  <c r="K198" i="4"/>
  <c r="K199" i="4" s="1"/>
  <c r="Q81" i="11"/>
  <c r="Q31" i="12"/>
  <c r="S13" i="12"/>
  <c r="T13" i="12" s="1"/>
  <c r="T29" i="12" s="1"/>
  <c r="S29" i="12"/>
  <c r="S81" i="11" s="1"/>
  <c r="AC9" i="12"/>
  <c r="S24" i="12"/>
  <c r="T24" i="12" s="1"/>
  <c r="T30" i="12" s="1"/>
  <c r="R50" i="7"/>
  <c r="P190" i="4"/>
  <c r="P192" i="4" s="1"/>
  <c r="Q189" i="4" s="1"/>
  <c r="AC38" i="5"/>
  <c r="H11" i="13" s="1"/>
  <c r="K207" i="4" l="1"/>
  <c r="K208" i="4" s="1"/>
  <c r="L205" i="4" s="1"/>
  <c r="L206" i="4" s="1"/>
  <c r="O53" i="11"/>
  <c r="O73" i="10"/>
  <c r="M55" i="11"/>
  <c r="M57" i="11" s="1"/>
  <c r="M76" i="10"/>
  <c r="M77" i="10" s="1"/>
  <c r="M53" i="10" s="1"/>
  <c r="M55" i="10" s="1"/>
  <c r="M49" i="7" s="1"/>
  <c r="W23" i="12"/>
  <c r="S30" i="12"/>
  <c r="S50" i="7" s="1"/>
  <c r="H73" i="11"/>
  <c r="U136" i="4"/>
  <c r="AB10" i="7"/>
  <c r="AB14" i="7" s="1"/>
  <c r="AA10" i="7"/>
  <c r="AA14" i="7" s="1"/>
  <c r="R37" i="5"/>
  <c r="S37" i="5" s="1"/>
  <c r="F10" i="13" s="1"/>
  <c r="S28" i="12"/>
  <c r="U7" i="12"/>
  <c r="U28" i="12" s="1"/>
  <c r="K200" i="4"/>
  <c r="L197" i="4" s="1"/>
  <c r="U24" i="12"/>
  <c r="U30" i="12" s="1"/>
  <c r="R81" i="11"/>
  <c r="R31" i="12"/>
  <c r="U13" i="12"/>
  <c r="U29" i="12" s="1"/>
  <c r="Q190" i="4"/>
  <c r="Q192" i="4" s="1"/>
  <c r="R189" i="4" s="1"/>
  <c r="C1" i="4"/>
  <c r="E1" i="4" s="1"/>
  <c r="F1" i="4" s="1"/>
  <c r="C169" i="4"/>
  <c r="E166" i="4" s="1"/>
  <c r="E169" i="4" s="1"/>
  <c r="E16" i="4" s="1"/>
  <c r="B169" i="4"/>
  <c r="B168" i="4"/>
  <c r="B167" i="4"/>
  <c r="B181" i="4" s="1"/>
  <c r="B166" i="4"/>
  <c r="C47" i="4"/>
  <c r="C49" i="4" s="1"/>
  <c r="X23" i="12" l="1"/>
  <c r="Y23" i="12" s="1"/>
  <c r="O76" i="10"/>
  <c r="O77" i="10" s="1"/>
  <c r="O53" i="10" s="1"/>
  <c r="O55" i="10" s="1"/>
  <c r="O49" i="7" s="1"/>
  <c r="O55" i="11"/>
  <c r="O74" i="10"/>
  <c r="P70" i="10" s="1"/>
  <c r="O57" i="11"/>
  <c r="S31" i="12"/>
  <c r="V136" i="4"/>
  <c r="T50" i="7"/>
  <c r="T37" i="5"/>
  <c r="V7" i="12"/>
  <c r="V28" i="12" s="1"/>
  <c r="U37" i="5"/>
  <c r="L198" i="4"/>
  <c r="L175" i="4" s="1"/>
  <c r="V13" i="12"/>
  <c r="V29" i="12" s="1"/>
  <c r="T81" i="11"/>
  <c r="T31" i="12"/>
  <c r="L207" i="4"/>
  <c r="L208" i="4" s="1"/>
  <c r="M205" i="4" s="1"/>
  <c r="V24" i="12"/>
  <c r="V30" i="12" s="1"/>
  <c r="U50" i="7"/>
  <c r="R190" i="4"/>
  <c r="R192" i="4" s="1"/>
  <c r="S189" i="4" s="1"/>
  <c r="F166" i="4"/>
  <c r="D24" i="8"/>
  <c r="E160" i="4"/>
  <c r="J73" i="11"/>
  <c r="P53" i="11" l="1"/>
  <c r="P73" i="10"/>
  <c r="Z23" i="12"/>
  <c r="L199" i="4"/>
  <c r="L200" i="4" s="1"/>
  <c r="M197" i="4" s="1"/>
  <c r="M198" i="4" s="1"/>
  <c r="M175" i="4" s="1"/>
  <c r="E162" i="4"/>
  <c r="F169" i="4"/>
  <c r="W136" i="4"/>
  <c r="K73" i="11"/>
  <c r="W7" i="12"/>
  <c r="W28" i="12" s="1"/>
  <c r="V37" i="5"/>
  <c r="W24" i="12"/>
  <c r="W30" i="12" s="1"/>
  <c r="V50" i="7"/>
  <c r="U81" i="11"/>
  <c r="U31" i="12"/>
  <c r="W13" i="12"/>
  <c r="W29" i="12" s="1"/>
  <c r="S190" i="4"/>
  <c r="S192" i="4" s="1"/>
  <c r="T189" i="4" s="1"/>
  <c r="F39" i="5"/>
  <c r="G39" i="5" s="1"/>
  <c r="H39" i="5" s="1"/>
  <c r="J39" i="5" s="1"/>
  <c r="E32" i="4"/>
  <c r="F32" i="4" s="1"/>
  <c r="G32" i="4" s="1"/>
  <c r="E28" i="4"/>
  <c r="E39" i="4"/>
  <c r="E37" i="4"/>
  <c r="C41" i="4"/>
  <c r="C50" i="13" s="1"/>
  <c r="C37" i="13" l="1"/>
  <c r="C34" i="13"/>
  <c r="C33" i="13"/>
  <c r="P74" i="10"/>
  <c r="Q70" i="10" s="1"/>
  <c r="P55" i="11"/>
  <c r="P76" i="10"/>
  <c r="P77" i="10" s="1"/>
  <c r="P53" i="10" s="1"/>
  <c r="P55" i="10" s="1"/>
  <c r="P49" i="7" s="1"/>
  <c r="AA23" i="12"/>
  <c r="P57" i="11"/>
  <c r="E46" i="5"/>
  <c r="D7" i="8" s="1"/>
  <c r="E163" i="4"/>
  <c r="M200" i="4"/>
  <c r="N197" i="4" s="1"/>
  <c r="N198" i="4" s="1"/>
  <c r="N175" i="4" s="1"/>
  <c r="X136" i="4"/>
  <c r="X7" i="12"/>
  <c r="Y7" i="12" s="1"/>
  <c r="Y28" i="12" s="1"/>
  <c r="V81" i="11"/>
  <c r="V31" i="12"/>
  <c r="X13" i="12"/>
  <c r="Y13" i="12" s="1"/>
  <c r="Y29" i="12" s="1"/>
  <c r="X29" i="12"/>
  <c r="X81" i="11" s="1"/>
  <c r="X24" i="12"/>
  <c r="Y24" i="12" s="1"/>
  <c r="Y30" i="12" s="1"/>
  <c r="W50" i="7"/>
  <c r="I39" i="5"/>
  <c r="D12" i="13" s="1"/>
  <c r="D14" i="8"/>
  <c r="E182" i="4"/>
  <c r="E175" i="4" s="1"/>
  <c r="T190" i="4"/>
  <c r="T192" i="4" s="1"/>
  <c r="U189" i="4" s="1"/>
  <c r="K39" i="5"/>
  <c r="L39" i="5" s="1"/>
  <c r="M39" i="5" s="1"/>
  <c r="O39" i="5" s="1"/>
  <c r="F39" i="4"/>
  <c r="G39" i="4" s="1"/>
  <c r="H39" i="4" s="1"/>
  <c r="I39" i="4" s="1"/>
  <c r="F27" i="4"/>
  <c r="F18" i="4"/>
  <c r="G18" i="4" s="1"/>
  <c r="H18" i="4" s="1"/>
  <c r="I18" i="4" s="1"/>
  <c r="F19" i="4"/>
  <c r="G19" i="4" s="1"/>
  <c r="H19" i="4" s="1"/>
  <c r="I19" i="4" s="1"/>
  <c r="J19" i="4" s="1"/>
  <c r="F20" i="4"/>
  <c r="G20" i="4" s="1"/>
  <c r="H20" i="4" s="1"/>
  <c r="I20" i="4" s="1"/>
  <c r="F28" i="4"/>
  <c r="F9" i="4"/>
  <c r="G9" i="4" s="1"/>
  <c r="H32" i="4"/>
  <c r="I32" i="4" s="1"/>
  <c r="F13" i="4"/>
  <c r="G13" i="4" s="1"/>
  <c r="F12" i="4"/>
  <c r="G12" i="4" s="1"/>
  <c r="F37" i="4"/>
  <c r="D18" i="8"/>
  <c r="G28" i="4" l="1"/>
  <c r="H28" i="4" s="1"/>
  <c r="I28" i="4" s="1"/>
  <c r="J28" i="4" s="1"/>
  <c r="K28" i="4" s="1"/>
  <c r="L28" i="4" s="1"/>
  <c r="M28" i="4" s="1"/>
  <c r="G27" i="4"/>
  <c r="H27" i="4" s="1"/>
  <c r="I27" i="4" s="1"/>
  <c r="J27" i="4" s="1"/>
  <c r="K27" i="4" s="1"/>
  <c r="L27" i="4" s="1"/>
  <c r="M27" i="4" s="1"/>
  <c r="H9" i="4"/>
  <c r="I9" i="4" s="1"/>
  <c r="J9" i="4" s="1"/>
  <c r="K9" i="4" s="1"/>
  <c r="L9" i="4" s="1"/>
  <c r="M9" i="4" s="1"/>
  <c r="F160" i="4"/>
  <c r="E17" i="4"/>
  <c r="D13" i="8" s="1"/>
  <c r="D15" i="8" s="1"/>
  <c r="AB23" i="12"/>
  <c r="Q73" i="10"/>
  <c r="Q74" i="10" s="1"/>
  <c r="R70" i="10" s="1"/>
  <c r="Q53" i="11"/>
  <c r="H12" i="4"/>
  <c r="I12" i="4" s="1"/>
  <c r="J12" i="4" s="1"/>
  <c r="K12" i="4" s="1"/>
  <c r="H13" i="4"/>
  <c r="I13" i="4" s="1"/>
  <c r="J13" i="4" s="1"/>
  <c r="K13" i="4" s="1"/>
  <c r="L13" i="4" s="1"/>
  <c r="M13" i="4" s="1"/>
  <c r="X30" i="12"/>
  <c r="X50" i="7" s="1"/>
  <c r="N200" i="4"/>
  <c r="O197" i="4" s="1"/>
  <c r="O198" i="4" s="1"/>
  <c r="O175" i="4" s="1"/>
  <c r="F162" i="4"/>
  <c r="F16" i="4"/>
  <c r="F182" i="4" s="1"/>
  <c r="F183" i="4" s="1"/>
  <c r="F176" i="4" s="1"/>
  <c r="G166" i="4"/>
  <c r="L73" i="11"/>
  <c r="W37" i="5"/>
  <c r="X37" i="5" s="1"/>
  <c r="G10" i="13" s="1"/>
  <c r="X28" i="12"/>
  <c r="Z7" i="12"/>
  <c r="Z28" i="12" s="1"/>
  <c r="Z24" i="12"/>
  <c r="Z30" i="12" s="1"/>
  <c r="W81" i="11"/>
  <c r="W31" i="12"/>
  <c r="Z13" i="12"/>
  <c r="Z29" i="12" s="1"/>
  <c r="E47" i="5"/>
  <c r="D8" i="8" s="1"/>
  <c r="E183" i="4"/>
  <c r="E176" i="4" s="1"/>
  <c r="U190" i="4"/>
  <c r="U192" i="4" s="1"/>
  <c r="V189" i="4" s="1"/>
  <c r="N39" i="5"/>
  <c r="E12" i="13" s="1"/>
  <c r="P39" i="5"/>
  <c r="Q39" i="5" s="1"/>
  <c r="R39" i="5" s="1"/>
  <c r="T39" i="5" s="1"/>
  <c r="J32" i="4"/>
  <c r="K32" i="4" s="1"/>
  <c r="L32" i="4" s="1"/>
  <c r="M32" i="4" s="1"/>
  <c r="J20" i="4"/>
  <c r="K20" i="4" s="1"/>
  <c r="J18" i="4"/>
  <c r="K18" i="4" s="1"/>
  <c r="L18" i="4" s="1"/>
  <c r="M18" i="4" s="1"/>
  <c r="K19" i="4"/>
  <c r="J39" i="4"/>
  <c r="K39" i="4" s="1"/>
  <c r="L39" i="4" s="1"/>
  <c r="M39" i="4" s="1"/>
  <c r="G37" i="4"/>
  <c r="E18" i="8"/>
  <c r="R53" i="11" l="1"/>
  <c r="R73" i="10"/>
  <c r="R74" i="10" s="1"/>
  <c r="T70" i="10" s="1"/>
  <c r="Q55" i="11"/>
  <c r="Q57" i="11" s="1"/>
  <c r="Q76" i="10"/>
  <c r="Q77" i="10" s="1"/>
  <c r="Q53" i="10" s="1"/>
  <c r="Q55" i="10" s="1"/>
  <c r="Q49" i="7" s="1"/>
  <c r="AC23" i="12"/>
  <c r="F163" i="4"/>
  <c r="G160" i="4" s="1"/>
  <c r="G162" i="4" s="1"/>
  <c r="L12" i="4"/>
  <c r="M12" i="4" s="1"/>
  <c r="N12" i="4" s="1"/>
  <c r="O12" i="4" s="1"/>
  <c r="L19" i="4"/>
  <c r="M19" i="4" s="1"/>
  <c r="N19" i="4" s="1"/>
  <c r="O19" i="4" s="1"/>
  <c r="P19" i="4" s="1"/>
  <c r="Q19" i="4" s="1"/>
  <c r="L20" i="4"/>
  <c r="M20" i="4" s="1"/>
  <c r="N20" i="4" s="1"/>
  <c r="O20" i="4" s="1"/>
  <c r="P20" i="4" s="1"/>
  <c r="Q20" i="4" s="1"/>
  <c r="X31" i="12"/>
  <c r="E14" i="8"/>
  <c r="C34" i="8" s="1"/>
  <c r="C36" i="8" s="1"/>
  <c r="O200" i="4"/>
  <c r="P197" i="4" s="1"/>
  <c r="P198" i="4" s="1"/>
  <c r="P175" i="4" s="1"/>
  <c r="F46" i="5"/>
  <c r="E7" i="8" s="1"/>
  <c r="F175" i="4"/>
  <c r="F47" i="5" s="1"/>
  <c r="E8" i="8" s="1"/>
  <c r="E19" i="8" s="1"/>
  <c r="G168" i="4"/>
  <c r="D19" i="8"/>
  <c r="AA7" i="12"/>
  <c r="AA28" i="12" s="1"/>
  <c r="Z37" i="5"/>
  <c r="Y50" i="7"/>
  <c r="Y37" i="5"/>
  <c r="Y81" i="11"/>
  <c r="Y31" i="12"/>
  <c r="AA13" i="12"/>
  <c r="AA29" i="12" s="1"/>
  <c r="AA24" i="12"/>
  <c r="AA30" i="12" s="1"/>
  <c r="Z50" i="7"/>
  <c r="E184" i="4"/>
  <c r="V190" i="4"/>
  <c r="V192" i="4" s="1"/>
  <c r="W189" i="4" s="1"/>
  <c r="S39" i="5"/>
  <c r="F12" i="13" s="1"/>
  <c r="U39" i="5"/>
  <c r="V39" i="5" s="1"/>
  <c r="W39" i="5" s="1"/>
  <c r="Y39" i="5" s="1"/>
  <c r="N9" i="4"/>
  <c r="O9" i="4" s="1"/>
  <c r="P9" i="4" s="1"/>
  <c r="Q9" i="4" s="1"/>
  <c r="N18" i="4"/>
  <c r="O18" i="4" s="1"/>
  <c r="N32" i="4"/>
  <c r="O32" i="4" s="1"/>
  <c r="P32" i="4" s="1"/>
  <c r="Q32" i="4" s="1"/>
  <c r="N27" i="4"/>
  <c r="O27" i="4" s="1"/>
  <c r="P27" i="4" s="1"/>
  <c r="Q27" i="4" s="1"/>
  <c r="N39" i="4"/>
  <c r="O39" i="4" s="1"/>
  <c r="P39" i="4" s="1"/>
  <c r="Q39" i="4" s="1"/>
  <c r="N28" i="4"/>
  <c r="O28" i="4" s="1"/>
  <c r="P28" i="4" s="1"/>
  <c r="Q28" i="4" s="1"/>
  <c r="N13" i="4"/>
  <c r="O13" i="4" s="1"/>
  <c r="H37" i="4"/>
  <c r="F18" i="8"/>
  <c r="F17" i="4" l="1"/>
  <c r="E13" i="8" s="1"/>
  <c r="E15" i="8" s="1"/>
  <c r="R76" i="10"/>
  <c r="R77" i="10" s="1"/>
  <c r="R53" i="10" s="1"/>
  <c r="R55" i="10" s="1"/>
  <c r="R49" i="7" s="1"/>
  <c r="R55" i="11"/>
  <c r="R57" i="11"/>
  <c r="T73" i="10"/>
  <c r="T74" i="10" s="1"/>
  <c r="U70" i="10" s="1"/>
  <c r="T53" i="11"/>
  <c r="P18" i="4"/>
  <c r="Q18" i="4" s="1"/>
  <c r="R18" i="4" s="1"/>
  <c r="S18" i="4" s="1"/>
  <c r="T18" i="4" s="1"/>
  <c r="U18" i="4" s="1"/>
  <c r="P12" i="4"/>
  <c r="Q12" i="4" s="1"/>
  <c r="R12" i="4" s="1"/>
  <c r="S12" i="4" s="1"/>
  <c r="T12" i="4" s="1"/>
  <c r="U12" i="4" s="1"/>
  <c r="P13" i="4"/>
  <c r="Q13" i="4" s="1"/>
  <c r="R13" i="4" s="1"/>
  <c r="S13" i="4" s="1"/>
  <c r="T13" i="4" s="1"/>
  <c r="U13" i="4" s="1"/>
  <c r="G163" i="4"/>
  <c r="H160" i="4" s="1"/>
  <c r="H162" i="4" s="1"/>
  <c r="G46" i="5"/>
  <c r="F7" i="8" s="1"/>
  <c r="P200" i="4"/>
  <c r="Q197" i="4" s="1"/>
  <c r="Q198" i="4" s="1"/>
  <c r="Q175" i="4" s="1"/>
  <c r="G169" i="4"/>
  <c r="H166" i="4" s="1"/>
  <c r="H168" i="4" s="1"/>
  <c r="H169" i="4" s="1"/>
  <c r="AB7" i="12"/>
  <c r="AB28" i="12" s="1"/>
  <c r="AB24" i="12"/>
  <c r="AB30" i="12" s="1"/>
  <c r="Z81" i="11"/>
  <c r="Z31" i="12"/>
  <c r="AB13" i="12"/>
  <c r="AB29" i="12" s="1"/>
  <c r="E177" i="4"/>
  <c r="F181" i="4"/>
  <c r="W190" i="4"/>
  <c r="W192" i="4" s="1"/>
  <c r="X189" i="4" s="1"/>
  <c r="X39" i="5"/>
  <c r="G12" i="13" s="1"/>
  <c r="Z39" i="5"/>
  <c r="AA39" i="5" s="1"/>
  <c r="AB39" i="5" s="1"/>
  <c r="AC39" i="5" s="1"/>
  <c r="H12" i="13" s="1"/>
  <c r="R19" i="4"/>
  <c r="S19" i="4" s="1"/>
  <c r="T19" i="4" s="1"/>
  <c r="U19" i="4" s="1"/>
  <c r="R28" i="4"/>
  <c r="S28" i="4" s="1"/>
  <c r="T28" i="4" s="1"/>
  <c r="U28" i="4" s="1"/>
  <c r="R39" i="4"/>
  <c r="S39" i="4" s="1"/>
  <c r="T39" i="4" s="1"/>
  <c r="U39" i="4" s="1"/>
  <c r="R20" i="4"/>
  <c r="S20" i="4" s="1"/>
  <c r="T20" i="4" s="1"/>
  <c r="U20" i="4" s="1"/>
  <c r="R27" i="4"/>
  <c r="S27" i="4" s="1"/>
  <c r="T27" i="4" s="1"/>
  <c r="U27" i="4" s="1"/>
  <c r="R32" i="4"/>
  <c r="S32" i="4" s="1"/>
  <c r="T32" i="4" s="1"/>
  <c r="U32" i="4" s="1"/>
  <c r="R9" i="4"/>
  <c r="S9" i="4" s="1"/>
  <c r="T9" i="4" s="1"/>
  <c r="U9" i="4" s="1"/>
  <c r="I37" i="4"/>
  <c r="G18" i="8"/>
  <c r="E31" i="4" l="1"/>
  <c r="D20" i="8" s="1"/>
  <c r="D21" i="8" s="1"/>
  <c r="T76" i="10"/>
  <c r="T77" i="10" s="1"/>
  <c r="T53" i="10" s="1"/>
  <c r="T55" i="10" s="1"/>
  <c r="T49" i="7" s="1"/>
  <c r="T55" i="11"/>
  <c r="T57" i="11" s="1"/>
  <c r="U73" i="10"/>
  <c r="U53" i="11"/>
  <c r="U74" i="10"/>
  <c r="V70" i="10" s="1"/>
  <c r="G17" i="4"/>
  <c r="F13" i="8" s="1"/>
  <c r="H163" i="4"/>
  <c r="I160" i="4" s="1"/>
  <c r="I162" i="4" s="1"/>
  <c r="Q200" i="4"/>
  <c r="R197" i="4" s="1"/>
  <c r="R198" i="4" s="1"/>
  <c r="R175" i="4" s="1"/>
  <c r="G16" i="4"/>
  <c r="G182" i="4" s="1"/>
  <c r="G183" i="4" s="1"/>
  <c r="H16" i="4"/>
  <c r="M73" i="11"/>
  <c r="AA50" i="7"/>
  <c r="AA37" i="5"/>
  <c r="AC7" i="12"/>
  <c r="AB37" i="5"/>
  <c r="AA81" i="11"/>
  <c r="AA31" i="12"/>
  <c r="AC13" i="12"/>
  <c r="AC29" i="12"/>
  <c r="D29" i="12" s="1"/>
  <c r="AC24" i="12"/>
  <c r="AB50" i="7"/>
  <c r="F184" i="4"/>
  <c r="F177" i="4" s="1"/>
  <c r="F31" i="4" s="1"/>
  <c r="F174" i="4"/>
  <c r="X190" i="4"/>
  <c r="X192" i="4" s="1"/>
  <c r="V20" i="4"/>
  <c r="W20" i="4" s="1"/>
  <c r="X20" i="4" s="1"/>
  <c r="V39" i="4"/>
  <c r="W39" i="4" s="1"/>
  <c r="X39" i="4" s="1"/>
  <c r="V27" i="4"/>
  <c r="W27" i="4" s="1"/>
  <c r="X27" i="4" s="1"/>
  <c r="V28" i="4"/>
  <c r="W28" i="4" s="1"/>
  <c r="X28" i="4" s="1"/>
  <c r="V19" i="4"/>
  <c r="W19" i="4" s="1"/>
  <c r="X19" i="4" s="1"/>
  <c r="V32" i="4"/>
  <c r="W32" i="4" s="1"/>
  <c r="X32" i="4" s="1"/>
  <c r="V18" i="4"/>
  <c r="W18" i="4" s="1"/>
  <c r="X18" i="4" s="1"/>
  <c r="V12" i="4"/>
  <c r="W12" i="4" s="1"/>
  <c r="X12" i="4" s="1"/>
  <c r="V9" i="4"/>
  <c r="W9" i="4" s="1"/>
  <c r="X9" i="4" s="1"/>
  <c r="V13" i="4"/>
  <c r="W13" i="4" s="1"/>
  <c r="X13" i="4" s="1"/>
  <c r="J37" i="4"/>
  <c r="K37" i="4" s="1"/>
  <c r="I18" i="8"/>
  <c r="V73" i="10" l="1"/>
  <c r="V74" i="10" s="1"/>
  <c r="W70" i="10" s="1"/>
  <c r="V53" i="11"/>
  <c r="U76" i="10"/>
  <c r="U77" i="10" s="1"/>
  <c r="U53" i="10" s="1"/>
  <c r="U55" i="10" s="1"/>
  <c r="U49" i="7" s="1"/>
  <c r="U55" i="11"/>
  <c r="U57" i="11"/>
  <c r="H17" i="4"/>
  <c r="G13" i="8" s="1"/>
  <c r="I163" i="4"/>
  <c r="J160" i="4" s="1"/>
  <c r="J162" i="4" s="1"/>
  <c r="R200" i="4"/>
  <c r="S197" i="4" s="1"/>
  <c r="S198" i="4" s="1"/>
  <c r="S175" i="4" s="1"/>
  <c r="F14" i="8"/>
  <c r="F15" i="8" s="1"/>
  <c r="AC37" i="5"/>
  <c r="H10" i="13" s="1"/>
  <c r="AC28" i="12"/>
  <c r="D28" i="12" s="1"/>
  <c r="AC30" i="12"/>
  <c r="AB81" i="11"/>
  <c r="AB31" i="12"/>
  <c r="G181" i="4"/>
  <c r="E20" i="8"/>
  <c r="G176" i="4"/>
  <c r="G175" i="4"/>
  <c r="H46" i="5"/>
  <c r="G7" i="8" s="1"/>
  <c r="I166" i="4"/>
  <c r="J18" i="8"/>
  <c r="I17" i="4" l="1"/>
  <c r="W73" i="10"/>
  <c r="W74" i="10" s="1"/>
  <c r="Y70" i="10" s="1"/>
  <c r="W53" i="11"/>
  <c r="V55" i="11"/>
  <c r="V57" i="11" s="1"/>
  <c r="V76" i="10"/>
  <c r="V77" i="10" s="1"/>
  <c r="V53" i="10" s="1"/>
  <c r="V55" i="10" s="1"/>
  <c r="V49" i="7" s="1"/>
  <c r="G47" i="5"/>
  <c r="F8" i="8" s="1"/>
  <c r="AC50" i="7"/>
  <c r="D30" i="12"/>
  <c r="D31" i="12" s="1"/>
  <c r="S200" i="4"/>
  <c r="T197" i="4" s="1"/>
  <c r="T198" i="4" s="1"/>
  <c r="T175" i="4" s="1"/>
  <c r="I168" i="4"/>
  <c r="O73" i="11"/>
  <c r="AC31" i="12"/>
  <c r="E21" i="8"/>
  <c r="G184" i="4"/>
  <c r="G174" i="4"/>
  <c r="I46" i="5"/>
  <c r="D17" i="13" s="1"/>
  <c r="H182" i="4"/>
  <c r="I13" i="8"/>
  <c r="J163" i="4"/>
  <c r="L37" i="4"/>
  <c r="K18" i="8"/>
  <c r="G177" i="4" l="1"/>
  <c r="G31" i="4" s="1"/>
  <c r="F20" i="8" s="1"/>
  <c r="I169" i="4"/>
  <c r="Y73" i="10"/>
  <c r="Y74" i="10" s="1"/>
  <c r="Z70" i="10" s="1"/>
  <c r="Y53" i="11"/>
  <c r="W55" i="11"/>
  <c r="W57" i="11" s="1"/>
  <c r="W76" i="10"/>
  <c r="W77" i="10" s="1"/>
  <c r="W53" i="10" s="1"/>
  <c r="W55" i="10" s="1"/>
  <c r="W49" i="7" s="1"/>
  <c r="P73" i="11"/>
  <c r="F19" i="8"/>
  <c r="H175" i="4"/>
  <c r="H183" i="4"/>
  <c r="H176" i="4" s="1"/>
  <c r="H181" i="4"/>
  <c r="T200" i="4"/>
  <c r="U197" i="4" s="1"/>
  <c r="G14" i="8"/>
  <c r="K160" i="4"/>
  <c r="J17" i="4"/>
  <c r="M37" i="4"/>
  <c r="L18" i="8"/>
  <c r="H47" i="5" l="1"/>
  <c r="G8" i="8" s="1"/>
  <c r="Z73" i="10"/>
  <c r="Z74" i="10" s="1"/>
  <c r="AA70" i="10" s="1"/>
  <c r="Z53" i="11"/>
  <c r="Y55" i="11"/>
  <c r="Y57" i="11" s="1"/>
  <c r="Y76" i="10"/>
  <c r="Y77" i="10" s="1"/>
  <c r="Y53" i="10" s="1"/>
  <c r="Y55" i="10" s="1"/>
  <c r="Y49" i="7" s="1"/>
  <c r="K162" i="4"/>
  <c r="G15" i="8"/>
  <c r="F21" i="8"/>
  <c r="H184" i="4"/>
  <c r="H174" i="4"/>
  <c r="U198" i="4"/>
  <c r="U175" i="4" s="1"/>
  <c r="J46" i="5"/>
  <c r="J166" i="4"/>
  <c r="I16" i="4"/>
  <c r="J13" i="8"/>
  <c r="Q73" i="11"/>
  <c r="N37" i="4"/>
  <c r="N18" i="8"/>
  <c r="I47" i="5" l="1"/>
  <c r="D18" i="13" s="1"/>
  <c r="K163" i="4"/>
  <c r="L160" i="4" s="1"/>
  <c r="AA73" i="10"/>
  <c r="AA74" i="10" s="1"/>
  <c r="AB70" i="10" s="1"/>
  <c r="AA53" i="11"/>
  <c r="Z55" i="11"/>
  <c r="Z57" i="11" s="1"/>
  <c r="Z76" i="10"/>
  <c r="Z77" i="10" s="1"/>
  <c r="Z53" i="10" s="1"/>
  <c r="Z55" i="10" s="1"/>
  <c r="Z49" i="7" s="1"/>
  <c r="J168" i="4"/>
  <c r="G19" i="8"/>
  <c r="I14" i="8"/>
  <c r="I182" i="4"/>
  <c r="I181" i="4"/>
  <c r="H177" i="4"/>
  <c r="H31" i="4" s="1"/>
  <c r="U200" i="4"/>
  <c r="V197" i="4" s="1"/>
  <c r="I7" i="8"/>
  <c r="O37" i="4"/>
  <c r="O18" i="8"/>
  <c r="J169" i="4" l="1"/>
  <c r="AB73" i="10"/>
  <c r="AB74" i="10" s="1"/>
  <c r="AB53" i="11"/>
  <c r="AA55" i="11"/>
  <c r="AA57" i="11" s="1"/>
  <c r="AA76" i="10"/>
  <c r="AA77" i="10" s="1"/>
  <c r="AA53" i="10" s="1"/>
  <c r="AA55" i="10" s="1"/>
  <c r="AA49" i="7" s="1"/>
  <c r="G20" i="8"/>
  <c r="G21" i="8" s="1"/>
  <c r="I15" i="8"/>
  <c r="I175" i="4"/>
  <c r="I183" i="4"/>
  <c r="I176" i="4" s="1"/>
  <c r="I174" i="4"/>
  <c r="V198" i="4"/>
  <c r="V175" i="4" s="1"/>
  <c r="K46" i="5"/>
  <c r="K17" i="4"/>
  <c r="R73" i="11"/>
  <c r="L162" i="4"/>
  <c r="P37" i="4"/>
  <c r="P18" i="8"/>
  <c r="J47" i="5" l="1"/>
  <c r="AB55" i="11"/>
  <c r="AB57" i="11" s="1"/>
  <c r="AB76" i="10"/>
  <c r="AB77" i="10" s="1"/>
  <c r="AB53" i="10" s="1"/>
  <c r="AB55" i="10" s="1"/>
  <c r="AB49" i="7" s="1"/>
  <c r="I184" i="4"/>
  <c r="J181" i="4" s="1"/>
  <c r="V200" i="4"/>
  <c r="W197" i="4" s="1"/>
  <c r="J7" i="8"/>
  <c r="K166" i="4"/>
  <c r="J16" i="4"/>
  <c r="M47" i="5"/>
  <c r="K13" i="8"/>
  <c r="L163" i="4"/>
  <c r="Q37" i="4"/>
  <c r="Q18" i="8"/>
  <c r="I8" i="8" l="1"/>
  <c r="I19" i="8" s="1"/>
  <c r="J120" i="5"/>
  <c r="I177" i="4"/>
  <c r="I31" i="4" s="1"/>
  <c r="I20" i="8" s="1"/>
  <c r="K168" i="4"/>
  <c r="J14" i="8"/>
  <c r="J182" i="4"/>
  <c r="J174" i="4"/>
  <c r="W198" i="4"/>
  <c r="W175" i="4" s="1"/>
  <c r="L8" i="8"/>
  <c r="T73" i="11"/>
  <c r="M160" i="4"/>
  <c r="M162" i="4" s="1"/>
  <c r="L17" i="4"/>
  <c r="R37" i="4"/>
  <c r="S18" i="8"/>
  <c r="I21" i="8" l="1"/>
  <c r="K169" i="4"/>
  <c r="J15" i="8"/>
  <c r="J183" i="4"/>
  <c r="J175" i="4"/>
  <c r="W200" i="4"/>
  <c r="X197" i="4" s="1"/>
  <c r="L46" i="5"/>
  <c r="O47" i="5"/>
  <c r="L13" i="8"/>
  <c r="L19" i="8"/>
  <c r="M163" i="4"/>
  <c r="S37" i="4"/>
  <c r="T18" i="8"/>
  <c r="K47" i="5" l="1"/>
  <c r="K120" i="5" s="1"/>
  <c r="U73" i="11"/>
  <c r="J176" i="4"/>
  <c r="J184" i="4"/>
  <c r="X198" i="4"/>
  <c r="X175" i="4" s="1"/>
  <c r="N8" i="8"/>
  <c r="K7" i="8"/>
  <c r="K16" i="4"/>
  <c r="K182" i="4" s="1"/>
  <c r="K175" i="4" s="1"/>
  <c r="L166" i="4"/>
  <c r="N160" i="4"/>
  <c r="N162" i="4" s="1"/>
  <c r="M17" i="4"/>
  <c r="T37" i="4"/>
  <c r="U18" i="8"/>
  <c r="C34" i="4"/>
  <c r="C43" i="4" s="1"/>
  <c r="C44" i="4" s="1"/>
  <c r="F35" i="7"/>
  <c r="G35" i="7" s="1"/>
  <c r="H35" i="7" s="1"/>
  <c r="J35" i="7" s="1"/>
  <c r="K35" i="7" s="1"/>
  <c r="L35" i="7" s="1"/>
  <c r="M35" i="7" s="1"/>
  <c r="O35" i="7" s="1"/>
  <c r="P35" i="7" s="1"/>
  <c r="Q35" i="7" s="1"/>
  <c r="R35" i="7" s="1"/>
  <c r="T35" i="7" s="1"/>
  <c r="U35" i="7" s="1"/>
  <c r="V35" i="7" s="1"/>
  <c r="W35" i="7" s="1"/>
  <c r="Y35" i="7" s="1"/>
  <c r="Z35" i="7" s="1"/>
  <c r="AA35" i="7" s="1"/>
  <c r="AB35" i="7" s="1"/>
  <c r="B145" i="4"/>
  <c r="B144" i="4"/>
  <c r="B143" i="4"/>
  <c r="B142" i="4"/>
  <c r="B141" i="4"/>
  <c r="B140" i="4"/>
  <c r="F83" i="4"/>
  <c r="F84" i="4"/>
  <c r="F85" i="4"/>
  <c r="F86" i="4"/>
  <c r="F87" i="4"/>
  <c r="B78" i="4"/>
  <c r="B77" i="4"/>
  <c r="B76" i="4"/>
  <c r="B75" i="4"/>
  <c r="B74" i="4"/>
  <c r="B73" i="4"/>
  <c r="F55" i="4"/>
  <c r="F56" i="4"/>
  <c r="F57" i="4"/>
  <c r="F58" i="4"/>
  <c r="F59" i="4"/>
  <c r="B51" i="7"/>
  <c r="AB32" i="5"/>
  <c r="X115" i="4" s="1"/>
  <c r="X120" i="4" s="1"/>
  <c r="AA32" i="5"/>
  <c r="W115" i="4" s="1"/>
  <c r="W120" i="4" s="1"/>
  <c r="Z32" i="5"/>
  <c r="V115" i="4" s="1"/>
  <c r="V120" i="4" s="1"/>
  <c r="Y32" i="5"/>
  <c r="U115" i="4" s="1"/>
  <c r="U120" i="4" s="1"/>
  <c r="W32" i="5"/>
  <c r="T115" i="4" s="1"/>
  <c r="T120" i="4" s="1"/>
  <c r="V32" i="5"/>
  <c r="S115" i="4" s="1"/>
  <c r="S120" i="4" s="1"/>
  <c r="U32" i="5"/>
  <c r="R115" i="4" s="1"/>
  <c r="R120" i="4" s="1"/>
  <c r="T32" i="5"/>
  <c r="Q115" i="4" s="1"/>
  <c r="Q120" i="4" s="1"/>
  <c r="R32" i="5"/>
  <c r="P115" i="4" s="1"/>
  <c r="P120" i="4" s="1"/>
  <c r="Q32" i="5"/>
  <c r="O115" i="4" s="1"/>
  <c r="O120" i="4" s="1"/>
  <c r="P32" i="5"/>
  <c r="N115" i="4" s="1"/>
  <c r="N120" i="4" s="1"/>
  <c r="O32" i="5"/>
  <c r="M115" i="4" s="1"/>
  <c r="M120" i="4" s="1"/>
  <c r="M32" i="5"/>
  <c r="L115" i="4" s="1"/>
  <c r="L120" i="4" s="1"/>
  <c r="L32" i="5"/>
  <c r="K115" i="4" s="1"/>
  <c r="K120" i="4" s="1"/>
  <c r="K32" i="5"/>
  <c r="J115" i="4" s="1"/>
  <c r="J120" i="4" s="1"/>
  <c r="J32" i="5"/>
  <c r="I115" i="4" s="1"/>
  <c r="I120" i="4" s="1"/>
  <c r="H32" i="5"/>
  <c r="H115" i="4" s="1"/>
  <c r="H120" i="4" s="1"/>
  <c r="F32" i="5"/>
  <c r="F115" i="4" s="1"/>
  <c r="F120" i="4" s="1"/>
  <c r="E32" i="5"/>
  <c r="E115" i="4" s="1"/>
  <c r="E120" i="4" s="1"/>
  <c r="B32" i="5"/>
  <c r="B115" i="4" s="1"/>
  <c r="B31" i="5"/>
  <c r="B114" i="4" s="1"/>
  <c r="B30" i="5"/>
  <c r="B113" i="4" s="1"/>
  <c r="B29" i="5"/>
  <c r="B112" i="4" s="1"/>
  <c r="B26" i="5"/>
  <c r="B95" i="4" s="1"/>
  <c r="B24" i="5"/>
  <c r="B94" i="4" s="1"/>
  <c r="B23" i="5"/>
  <c r="B93" i="4" s="1"/>
  <c r="B22" i="5"/>
  <c r="B92" i="4" s="1"/>
  <c r="B21" i="5"/>
  <c r="B91" i="4" s="1"/>
  <c r="F15" i="7"/>
  <c r="B7" i="7"/>
  <c r="H3" i="7"/>
  <c r="F2" i="7"/>
  <c r="G2" i="7" s="1"/>
  <c r="H2" i="7" s="1"/>
  <c r="J2" i="7" s="1"/>
  <c r="K2" i="7" s="1"/>
  <c r="L2" i="7" s="1"/>
  <c r="M2" i="7" s="1"/>
  <c r="O2" i="7" s="1"/>
  <c r="P2" i="7" s="1"/>
  <c r="Q2" i="7" s="1"/>
  <c r="R2" i="7" s="1"/>
  <c r="T2" i="7" s="1"/>
  <c r="U2" i="7" s="1"/>
  <c r="V2" i="7" s="1"/>
  <c r="E6" i="7"/>
  <c r="E7" i="7" s="1"/>
  <c r="E33" i="7" s="1"/>
  <c r="H1" i="5"/>
  <c r="D60" i="6"/>
  <c r="D59" i="6"/>
  <c r="D58" i="6"/>
  <c r="F54" i="4"/>
  <c r="G54" i="4" s="1"/>
  <c r="D18" i="6"/>
  <c r="D15" i="6"/>
  <c r="E15" i="6"/>
  <c r="E82" i="6"/>
  <c r="E9" i="6"/>
  <c r="F9" i="6" s="1"/>
  <c r="G9" i="6" s="1"/>
  <c r="H9" i="6" s="1"/>
  <c r="I9" i="6" s="1"/>
  <c r="J9" i="6" s="1"/>
  <c r="K9" i="6" s="1"/>
  <c r="L9" i="6" s="1"/>
  <c r="F15" i="6"/>
  <c r="G15" i="6"/>
  <c r="H15" i="6" s="1"/>
  <c r="D16" i="6"/>
  <c r="E16" i="6"/>
  <c r="F16" i="6"/>
  <c r="D17" i="6"/>
  <c r="E17" i="6"/>
  <c r="F17" i="6"/>
  <c r="G17" i="6"/>
  <c r="H17" i="6" s="1"/>
  <c r="I17" i="6" s="1"/>
  <c r="J17" i="6" s="1"/>
  <c r="K17" i="6" s="1"/>
  <c r="L17" i="6" s="1"/>
  <c r="E18" i="6"/>
  <c r="F18" i="6"/>
  <c r="H18" i="6"/>
  <c r="I18" i="6" s="1"/>
  <c r="J18" i="6" s="1"/>
  <c r="K18" i="6" s="1"/>
  <c r="L18" i="6" s="1"/>
  <c r="D19" i="6"/>
  <c r="E19" i="6"/>
  <c r="F19" i="6"/>
  <c r="G19" i="6"/>
  <c r="H19" i="6"/>
  <c r="I19" i="6" s="1"/>
  <c r="J19" i="6" s="1"/>
  <c r="K19" i="6" s="1"/>
  <c r="L19" i="6" s="1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D26" i="6"/>
  <c r="E26" i="6"/>
  <c r="F26" i="6"/>
  <c r="D28" i="6"/>
  <c r="E28" i="6"/>
  <c r="F28" i="6"/>
  <c r="D32" i="6"/>
  <c r="E32" i="6"/>
  <c r="F32" i="6"/>
  <c r="G32" i="6"/>
  <c r="H32" i="6"/>
  <c r="I32" i="6"/>
  <c r="J32" i="6"/>
  <c r="K32" i="6"/>
  <c r="L32" i="6"/>
  <c r="D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D35" i="6"/>
  <c r="E35" i="6"/>
  <c r="F35" i="6"/>
  <c r="G35" i="6"/>
  <c r="H35" i="6"/>
  <c r="I35" i="6"/>
  <c r="J35" i="6"/>
  <c r="K35" i="6"/>
  <c r="L35" i="6"/>
  <c r="D36" i="6"/>
  <c r="E36" i="6"/>
  <c r="F36" i="6"/>
  <c r="G36" i="6"/>
  <c r="H36" i="6"/>
  <c r="I36" i="6"/>
  <c r="J36" i="6"/>
  <c r="K36" i="6"/>
  <c r="L36" i="6"/>
  <c r="D37" i="6"/>
  <c r="E37" i="6"/>
  <c r="F37" i="6"/>
  <c r="G37" i="6"/>
  <c r="H37" i="6"/>
  <c r="I37" i="6"/>
  <c r="J37" i="6"/>
  <c r="K37" i="6"/>
  <c r="L37" i="6"/>
  <c r="D43" i="6"/>
  <c r="E43" i="6"/>
  <c r="F43" i="6"/>
  <c r="D44" i="6"/>
  <c r="E44" i="6"/>
  <c r="F44" i="6"/>
  <c r="G44" i="6"/>
  <c r="H44" i="6"/>
  <c r="I44" i="6"/>
  <c r="J44" i="6"/>
  <c r="K44" i="6"/>
  <c r="L44" i="6"/>
  <c r="D45" i="6"/>
  <c r="E45" i="6"/>
  <c r="F45" i="6"/>
  <c r="D46" i="6"/>
  <c r="E46" i="6"/>
  <c r="F46" i="6"/>
  <c r="D47" i="6"/>
  <c r="E47" i="6"/>
  <c r="F47" i="6"/>
  <c r="G47" i="6"/>
  <c r="H47" i="6"/>
  <c r="I47" i="6" s="1"/>
  <c r="J47" i="6" s="1"/>
  <c r="K47" i="6" s="1"/>
  <c r="L47" i="6" s="1"/>
  <c r="D50" i="6"/>
  <c r="E50" i="6"/>
  <c r="F50" i="6"/>
  <c r="G50" i="6"/>
  <c r="H50" i="6"/>
  <c r="D51" i="6"/>
  <c r="E51" i="6"/>
  <c r="F51" i="6"/>
  <c r="G51" i="6" s="1"/>
  <c r="H51" i="6" s="1"/>
  <c r="I51" i="6" s="1"/>
  <c r="J51" i="6" s="1"/>
  <c r="K51" i="6" s="1"/>
  <c r="L51" i="6" s="1"/>
  <c r="D55" i="6"/>
  <c r="E55" i="6"/>
  <c r="F55" i="6"/>
  <c r="G55" i="6"/>
  <c r="H55" i="6"/>
  <c r="I55" i="6" s="1"/>
  <c r="J55" i="6" s="1"/>
  <c r="K55" i="6" s="1"/>
  <c r="L55" i="6" s="1"/>
  <c r="E58" i="6"/>
  <c r="F58" i="6"/>
  <c r="G58" i="6" s="1"/>
  <c r="E59" i="6"/>
  <c r="F59" i="6"/>
  <c r="G59" i="6"/>
  <c r="H59" i="6"/>
  <c r="I59" i="6"/>
  <c r="J59" i="6"/>
  <c r="K59" i="6"/>
  <c r="L59" i="6"/>
  <c r="E60" i="6"/>
  <c r="F60" i="6"/>
  <c r="G60" i="6"/>
  <c r="H60" i="6"/>
  <c r="I60" i="6"/>
  <c r="J60" i="6"/>
  <c r="K60" i="6"/>
  <c r="L60" i="6"/>
  <c r="D64" i="6"/>
  <c r="E64" i="6"/>
  <c r="F64" i="6"/>
  <c r="G64" i="6"/>
  <c r="H64" i="6"/>
  <c r="I64" i="6"/>
  <c r="J64" i="6"/>
  <c r="K64" i="6"/>
  <c r="L64" i="6"/>
  <c r="D68" i="6"/>
  <c r="E68" i="6"/>
  <c r="F68" i="6"/>
  <c r="D76" i="6"/>
  <c r="E76" i="6"/>
  <c r="F76" i="6"/>
  <c r="G76" i="6"/>
  <c r="D77" i="6"/>
  <c r="E77" i="6"/>
  <c r="F77" i="6"/>
  <c r="G77" i="6"/>
  <c r="H77" i="6"/>
  <c r="I77" i="6"/>
  <c r="J77" i="6"/>
  <c r="K77" i="6"/>
  <c r="L77" i="6"/>
  <c r="D78" i="6"/>
  <c r="E78" i="6"/>
  <c r="F78" i="6"/>
  <c r="D79" i="6"/>
  <c r="E79" i="6"/>
  <c r="F79" i="6"/>
  <c r="D80" i="6"/>
  <c r="E80" i="6"/>
  <c r="F80" i="6"/>
  <c r="F81" i="6"/>
  <c r="G81" i="6"/>
  <c r="H81" i="6"/>
  <c r="I81" i="6"/>
  <c r="J81" i="6"/>
  <c r="K81" i="6"/>
  <c r="L81" i="6"/>
  <c r="D82" i="6"/>
  <c r="F82" i="6"/>
  <c r="G82" i="6" s="1"/>
  <c r="H82" i="6" s="1"/>
  <c r="I82" i="6" s="1"/>
  <c r="J82" i="6" s="1"/>
  <c r="K82" i="6" s="1"/>
  <c r="L82" i="6" s="1"/>
  <c r="D84" i="6"/>
  <c r="E84" i="6"/>
  <c r="F84" i="6"/>
  <c r="G84" i="6"/>
  <c r="H84" i="6"/>
  <c r="I84" i="6"/>
  <c r="J84" i="6"/>
  <c r="K84" i="6"/>
  <c r="L84" i="6"/>
  <c r="F85" i="6"/>
  <c r="G85" i="6" s="1"/>
  <c r="H85" i="6" s="1"/>
  <c r="I85" i="6" s="1"/>
  <c r="J85" i="6" s="1"/>
  <c r="K85" i="6" s="1"/>
  <c r="L85" i="6" s="1"/>
  <c r="D88" i="6"/>
  <c r="E88" i="6"/>
  <c r="F88" i="6"/>
  <c r="G88" i="6"/>
  <c r="H88" i="6"/>
  <c r="I88" i="6"/>
  <c r="J88" i="6"/>
  <c r="K88" i="6"/>
  <c r="L88" i="6"/>
  <c r="D90" i="6"/>
  <c r="E90" i="6"/>
  <c r="F90" i="6"/>
  <c r="G90" i="6"/>
  <c r="H90" i="6"/>
  <c r="I90" i="6"/>
  <c r="J90" i="6"/>
  <c r="K90" i="6"/>
  <c r="L90" i="6"/>
  <c r="D91" i="6"/>
  <c r="E91" i="6"/>
  <c r="F91" i="6"/>
  <c r="G91" i="6"/>
  <c r="H91" i="6" s="1"/>
  <c r="D92" i="6"/>
  <c r="E92" i="6"/>
  <c r="F92" i="6"/>
  <c r="G92" i="6" s="1"/>
  <c r="H92" i="6" s="1"/>
  <c r="I92" i="6" s="1"/>
  <c r="J92" i="6" s="1"/>
  <c r="K92" i="6" s="1"/>
  <c r="L92" i="6" s="1"/>
  <c r="D93" i="6"/>
  <c r="E93" i="6"/>
  <c r="F93" i="6"/>
  <c r="G93" i="6" s="1"/>
  <c r="H93" i="6" s="1"/>
  <c r="I93" i="6" s="1"/>
  <c r="J93" i="6" s="1"/>
  <c r="K93" i="6" s="1"/>
  <c r="L93" i="6" s="1"/>
  <c r="D94" i="6"/>
  <c r="E94" i="6"/>
  <c r="F94" i="6"/>
  <c r="G94" i="6"/>
  <c r="H94" i="6"/>
  <c r="I94" i="6"/>
  <c r="J94" i="6"/>
  <c r="K94" i="6"/>
  <c r="L94" i="6"/>
  <c r="D98" i="6"/>
  <c r="E98" i="6"/>
  <c r="F98" i="6"/>
  <c r="G98" i="6" s="1"/>
  <c r="D99" i="6"/>
  <c r="E99" i="6"/>
  <c r="F99" i="6"/>
  <c r="G99" i="6"/>
  <c r="H99" i="6"/>
  <c r="I99" i="6"/>
  <c r="J99" i="6"/>
  <c r="K99" i="6"/>
  <c r="L99" i="6"/>
  <c r="D100" i="6"/>
  <c r="E100" i="6"/>
  <c r="F100" i="6"/>
  <c r="G100" i="6" s="1"/>
  <c r="H100" i="6" s="1"/>
  <c r="I100" i="6" s="1"/>
  <c r="J100" i="6" s="1"/>
  <c r="K100" i="6" s="1"/>
  <c r="L100" i="6" s="1"/>
  <c r="D101" i="6"/>
  <c r="E101" i="6"/>
  <c r="F101" i="6"/>
  <c r="D102" i="6"/>
  <c r="E102" i="6"/>
  <c r="F102" i="6"/>
  <c r="D106" i="6"/>
  <c r="E106" i="6"/>
  <c r="F106" i="6"/>
  <c r="D108" i="6"/>
  <c r="E108" i="6"/>
  <c r="F108" i="6"/>
  <c r="G108" i="6"/>
  <c r="H108" i="6"/>
  <c r="I108" i="6"/>
  <c r="J108" i="6"/>
  <c r="K108" i="6"/>
  <c r="L108" i="6"/>
  <c r="D109" i="6"/>
  <c r="E109" i="6"/>
  <c r="F109" i="6"/>
  <c r="G109" i="6"/>
  <c r="H109" i="6"/>
  <c r="I109" i="6"/>
  <c r="J109" i="6"/>
  <c r="K109" i="6"/>
  <c r="L109" i="6"/>
  <c r="D110" i="6"/>
  <c r="E110" i="6"/>
  <c r="F110" i="6"/>
  <c r="D111" i="6"/>
  <c r="E111" i="6"/>
  <c r="F111" i="6"/>
  <c r="G111" i="6"/>
  <c r="H111" i="6"/>
  <c r="I111" i="6"/>
  <c r="J111" i="6"/>
  <c r="K111" i="6"/>
  <c r="L111" i="6"/>
  <c r="D112" i="6"/>
  <c r="E112" i="6"/>
  <c r="F112" i="6"/>
  <c r="D113" i="6"/>
  <c r="E113" i="6"/>
  <c r="F113" i="6"/>
  <c r="G113" i="6" s="1"/>
  <c r="H113" i="6" s="1"/>
  <c r="I113" i="6" s="1"/>
  <c r="J113" i="6" s="1"/>
  <c r="K113" i="6" s="1"/>
  <c r="L113" i="6" s="1"/>
  <c r="D114" i="6"/>
  <c r="E114" i="6"/>
  <c r="F114" i="6"/>
  <c r="G114" i="6"/>
  <c r="H114" i="6"/>
  <c r="I114" i="6"/>
  <c r="J114" i="6"/>
  <c r="K114" i="6"/>
  <c r="L114" i="6"/>
  <c r="D116" i="6"/>
  <c r="E116" i="6"/>
  <c r="F116" i="6"/>
  <c r="G116" i="6"/>
  <c r="H116" i="6"/>
  <c r="I116" i="6"/>
  <c r="J116" i="6"/>
  <c r="K116" i="6"/>
  <c r="L116" i="6"/>
  <c r="D117" i="6"/>
  <c r="E117" i="6"/>
  <c r="F117" i="6"/>
  <c r="D120" i="6"/>
  <c r="E120" i="6"/>
  <c r="F120" i="6"/>
  <c r="G120" i="6" s="1"/>
  <c r="D121" i="6"/>
  <c r="E121" i="6"/>
  <c r="F121" i="6"/>
  <c r="G121" i="6"/>
  <c r="H121" i="6"/>
  <c r="I121" i="6"/>
  <c r="J121" i="6" s="1"/>
  <c r="K121" i="6" s="1"/>
  <c r="L121" i="6" s="1"/>
  <c r="D122" i="6"/>
  <c r="E122" i="6"/>
  <c r="F122" i="6"/>
  <c r="D127" i="6"/>
  <c r="E127" i="6"/>
  <c r="F127" i="6"/>
  <c r="G127" i="6" s="1"/>
  <c r="H127" i="6" s="1"/>
  <c r="I127" i="6" s="1"/>
  <c r="J127" i="6" s="1"/>
  <c r="D128" i="6"/>
  <c r="E128" i="6"/>
  <c r="F128" i="6"/>
  <c r="G128" i="6"/>
  <c r="H128" i="6"/>
  <c r="I128" i="6"/>
  <c r="J128" i="6"/>
  <c r="K128" i="6"/>
  <c r="L128" i="6"/>
  <c r="D129" i="6"/>
  <c r="E129" i="6"/>
  <c r="F129" i="6"/>
  <c r="G129" i="6"/>
  <c r="H129" i="6"/>
  <c r="I129" i="6"/>
  <c r="J129" i="6"/>
  <c r="K129" i="6"/>
  <c r="L129" i="6"/>
  <c r="D130" i="6"/>
  <c r="E130" i="6"/>
  <c r="F130" i="6"/>
  <c r="G130" i="6"/>
  <c r="H130" i="6"/>
  <c r="I130" i="6"/>
  <c r="J130" i="6"/>
  <c r="K130" i="6"/>
  <c r="L130" i="6"/>
  <c r="D131" i="6"/>
  <c r="E131" i="6"/>
  <c r="F131" i="6"/>
  <c r="G131" i="6"/>
  <c r="H131" i="6"/>
  <c r="I131" i="6"/>
  <c r="J131" i="6"/>
  <c r="K131" i="6"/>
  <c r="L131" i="6"/>
  <c r="D132" i="6"/>
  <c r="E132" i="6"/>
  <c r="F132" i="6"/>
  <c r="G132" i="6"/>
  <c r="H132" i="6" s="1"/>
  <c r="I132" i="6" s="1"/>
  <c r="J132" i="6" s="1"/>
  <c r="K132" i="6" s="1"/>
  <c r="L132" i="6" s="1"/>
  <c r="D133" i="6"/>
  <c r="E133" i="6"/>
  <c r="F133" i="6"/>
  <c r="G133" i="6"/>
  <c r="H133" i="6"/>
  <c r="I133" i="6"/>
  <c r="J133" i="6"/>
  <c r="K133" i="6"/>
  <c r="L133" i="6"/>
  <c r="D134" i="6"/>
  <c r="E134" i="6"/>
  <c r="F134" i="6"/>
  <c r="G134" i="6"/>
  <c r="H134" i="6"/>
  <c r="I134" i="6"/>
  <c r="J134" i="6"/>
  <c r="K134" i="6"/>
  <c r="L134" i="6"/>
  <c r="D135" i="6"/>
  <c r="E135" i="6"/>
  <c r="F135" i="6"/>
  <c r="G135" i="6"/>
  <c r="H135" i="6"/>
  <c r="I135" i="6"/>
  <c r="J135" i="6"/>
  <c r="K135" i="6"/>
  <c r="L135" i="6"/>
  <c r="D136" i="6"/>
  <c r="E136" i="6"/>
  <c r="F136" i="6"/>
  <c r="G136" i="6"/>
  <c r="H136" i="6"/>
  <c r="I136" i="6"/>
  <c r="J136" i="6"/>
  <c r="K136" i="6"/>
  <c r="L136" i="6"/>
  <c r="D137" i="6"/>
  <c r="E137" i="6"/>
  <c r="F137" i="6"/>
  <c r="G137" i="6"/>
  <c r="H137" i="6" s="1"/>
  <c r="I137" i="6" s="1"/>
  <c r="J137" i="6" s="1"/>
  <c r="K137" i="6" s="1"/>
  <c r="L137" i="6" s="1"/>
  <c r="J8" i="8" l="1"/>
  <c r="L47" i="5"/>
  <c r="N47" i="5" s="1"/>
  <c r="E18" i="13" s="1"/>
  <c r="W2" i="7"/>
  <c r="Y2" i="7" s="1"/>
  <c r="Z2" i="7" s="1"/>
  <c r="AA2" i="7" s="1"/>
  <c r="AB2" i="7" s="1"/>
  <c r="G87" i="4"/>
  <c r="G84" i="4"/>
  <c r="I84" i="4"/>
  <c r="G86" i="4"/>
  <c r="G83" i="4"/>
  <c r="H83" i="4" s="1"/>
  <c r="L168" i="4"/>
  <c r="G15" i="7"/>
  <c r="H15" i="7" s="1"/>
  <c r="J15" i="7" s="1"/>
  <c r="K15" i="7" s="1"/>
  <c r="B81" i="5"/>
  <c r="B89" i="5" s="1"/>
  <c r="B79" i="5"/>
  <c r="B87" i="5" s="1"/>
  <c r="J19" i="8"/>
  <c r="B80" i="5"/>
  <c r="B88" i="5" s="1"/>
  <c r="B78" i="5"/>
  <c r="B86" i="5" s="1"/>
  <c r="B85" i="4"/>
  <c r="B98" i="4" s="1"/>
  <c r="B63" i="5"/>
  <c r="B70" i="5" s="1"/>
  <c r="B86" i="4"/>
  <c r="B99" i="4" s="1"/>
  <c r="B64" i="5"/>
  <c r="B71" i="5" s="1"/>
  <c r="B83" i="4"/>
  <c r="B96" i="4" s="1"/>
  <c r="B61" i="5"/>
  <c r="B68" i="5" s="1"/>
  <c r="B87" i="4"/>
  <c r="B100" i="4" s="1"/>
  <c r="B66" i="5"/>
  <c r="B73" i="5" s="1"/>
  <c r="B84" i="4"/>
  <c r="B97" i="4" s="1"/>
  <c r="B62" i="5"/>
  <c r="B69" i="5" s="1"/>
  <c r="F6" i="7"/>
  <c r="F7" i="7" s="1"/>
  <c r="J3" i="7"/>
  <c r="K3" i="7" s="1"/>
  <c r="L3" i="7" s="1"/>
  <c r="M3" i="7" s="1"/>
  <c r="K181" i="4"/>
  <c r="J177" i="4"/>
  <c r="J31" i="4" s="1"/>
  <c r="J20" i="8" s="1"/>
  <c r="X200" i="4"/>
  <c r="AC32" i="5"/>
  <c r="X32" i="5"/>
  <c r="N32" i="5"/>
  <c r="B34" i="5"/>
  <c r="B116" i="4" s="1"/>
  <c r="S32" i="5"/>
  <c r="I32" i="5"/>
  <c r="G57" i="4"/>
  <c r="P47" i="5"/>
  <c r="G58" i="4"/>
  <c r="K14" i="8"/>
  <c r="N13" i="8"/>
  <c r="H16" i="7"/>
  <c r="J16" i="7" s="1"/>
  <c r="K16" i="7" s="1"/>
  <c r="L16" i="7" s="1"/>
  <c r="M16" i="7" s="1"/>
  <c r="O16" i="7" s="1"/>
  <c r="P16" i="7" s="1"/>
  <c r="Q16" i="7" s="1"/>
  <c r="R16" i="7" s="1"/>
  <c r="T16" i="7" s="1"/>
  <c r="U16" i="7" s="1"/>
  <c r="V16" i="7" s="1"/>
  <c r="W16" i="7" s="1"/>
  <c r="Y16" i="7" s="1"/>
  <c r="Z16" i="7" s="1"/>
  <c r="AA16" i="7" s="1"/>
  <c r="AB16" i="7" s="1"/>
  <c r="Y78" i="11"/>
  <c r="U34" i="11"/>
  <c r="J78" i="11"/>
  <c r="Z78" i="11"/>
  <c r="O78" i="11"/>
  <c r="E78" i="11"/>
  <c r="F78" i="11"/>
  <c r="F21" i="5" s="1"/>
  <c r="F91" i="4" s="1"/>
  <c r="F96" i="4" s="1"/>
  <c r="T34" i="11"/>
  <c r="D85" i="6"/>
  <c r="D86" i="6" s="1"/>
  <c r="F52" i="6"/>
  <c r="F20" i="7"/>
  <c r="E123" i="6"/>
  <c r="G25" i="6"/>
  <c r="O22" i="5"/>
  <c r="F26" i="5"/>
  <c r="F95" i="4" s="1"/>
  <c r="F100" i="4" s="1"/>
  <c r="AB22" i="5"/>
  <c r="X92" i="4" s="1"/>
  <c r="Z22" i="5"/>
  <c r="V92" i="4" s="1"/>
  <c r="Q22" i="5"/>
  <c r="O92" i="4" s="1"/>
  <c r="P22" i="5"/>
  <c r="N92" i="4" s="1"/>
  <c r="V22" i="5"/>
  <c r="S92" i="4" s="1"/>
  <c r="E24" i="5"/>
  <c r="E94" i="4" s="1"/>
  <c r="E99" i="4" s="1"/>
  <c r="Y22" i="5"/>
  <c r="U92" i="4" s="1"/>
  <c r="L21" i="5"/>
  <c r="K91" i="4" s="1"/>
  <c r="K96" i="4" s="1"/>
  <c r="AA22" i="5"/>
  <c r="W92" i="4" s="1"/>
  <c r="M21" i="5"/>
  <c r="L91" i="4" s="1"/>
  <c r="G85" i="4"/>
  <c r="G59" i="4"/>
  <c r="I59" i="4" s="1"/>
  <c r="F48" i="6"/>
  <c r="D61" i="6"/>
  <c r="D66" i="6" s="1"/>
  <c r="E38" i="6"/>
  <c r="I25" i="6"/>
  <c r="N19" i="8"/>
  <c r="N163" i="4"/>
  <c r="U37" i="4"/>
  <c r="V18" i="8"/>
  <c r="L25" i="6"/>
  <c r="G122" i="6"/>
  <c r="H122" i="6" s="1"/>
  <c r="I122" i="6" s="1"/>
  <c r="J122" i="6" s="1"/>
  <c r="K122" i="6" s="1"/>
  <c r="L122" i="6" s="1"/>
  <c r="E52" i="6"/>
  <c r="L38" i="6"/>
  <c r="D38" i="6"/>
  <c r="D20" i="6"/>
  <c r="D52" i="6"/>
  <c r="E48" i="6"/>
  <c r="F25" i="6"/>
  <c r="E25" i="6"/>
  <c r="I86" i="4"/>
  <c r="I87" i="4"/>
  <c r="G56" i="4"/>
  <c r="G55" i="4"/>
  <c r="R24" i="5"/>
  <c r="P94" i="4" s="1"/>
  <c r="Q24" i="5"/>
  <c r="O94" i="4" s="1"/>
  <c r="V26" i="5"/>
  <c r="S95" i="4" s="1"/>
  <c r="W26" i="5"/>
  <c r="T95" i="4" s="1"/>
  <c r="R26" i="5"/>
  <c r="P95" i="4" s="1"/>
  <c r="F22" i="5"/>
  <c r="F92" i="4" s="1"/>
  <c r="F97" i="4" s="1"/>
  <c r="F23" i="5"/>
  <c r="F93" i="4" s="1"/>
  <c r="F98" i="4" s="1"/>
  <c r="T26" i="5"/>
  <c r="Q95" i="4" s="1"/>
  <c r="E23" i="5"/>
  <c r="E93" i="4" s="1"/>
  <c r="E98" i="4" s="1"/>
  <c r="F24" i="5"/>
  <c r="F94" i="4" s="1"/>
  <c r="F99" i="4" s="1"/>
  <c r="U26" i="5"/>
  <c r="R95" i="4" s="1"/>
  <c r="U24" i="5"/>
  <c r="R94" i="4" s="1"/>
  <c r="T23" i="5"/>
  <c r="Q93" i="4" s="1"/>
  <c r="Y26" i="5"/>
  <c r="U95" i="4" s="1"/>
  <c r="V23" i="5"/>
  <c r="S93" i="4" s="1"/>
  <c r="Q23" i="5"/>
  <c r="O93" i="4" s="1"/>
  <c r="U23" i="5"/>
  <c r="R93" i="4" s="1"/>
  <c r="W24" i="5"/>
  <c r="T94" i="4" s="1"/>
  <c r="W23" i="5"/>
  <c r="T93" i="4" s="1"/>
  <c r="T24" i="5"/>
  <c r="Q94" i="4" s="1"/>
  <c r="R23" i="5"/>
  <c r="P93" i="4" s="1"/>
  <c r="V24" i="5"/>
  <c r="S94" i="4" s="1"/>
  <c r="E22" i="5"/>
  <c r="Q26" i="5"/>
  <c r="O95" i="4" s="1"/>
  <c r="J23" i="5"/>
  <c r="I93" i="4" s="1"/>
  <c r="J24" i="5"/>
  <c r="I94" i="4" s="1"/>
  <c r="K24" i="5"/>
  <c r="J94" i="4" s="1"/>
  <c r="J26" i="5"/>
  <c r="I95" i="4" s="1"/>
  <c r="K23" i="5"/>
  <c r="J93" i="4" s="1"/>
  <c r="K26" i="5"/>
  <c r="J95" i="4" s="1"/>
  <c r="J22" i="5"/>
  <c r="I92" i="4" s="1"/>
  <c r="L23" i="5"/>
  <c r="K93" i="4" s="1"/>
  <c r="Y23" i="5"/>
  <c r="U93" i="4" s="1"/>
  <c r="L24" i="5"/>
  <c r="K94" i="4" s="1"/>
  <c r="Y24" i="5"/>
  <c r="U94" i="4" s="1"/>
  <c r="L26" i="5"/>
  <c r="K95" i="4" s="1"/>
  <c r="K22" i="5"/>
  <c r="J92" i="4" s="1"/>
  <c r="M23" i="5"/>
  <c r="L93" i="4" s="1"/>
  <c r="Z23" i="5"/>
  <c r="V93" i="4" s="1"/>
  <c r="M24" i="5"/>
  <c r="L94" i="4" s="1"/>
  <c r="Z24" i="5"/>
  <c r="V94" i="4" s="1"/>
  <c r="M26" i="5"/>
  <c r="L95" i="4" s="1"/>
  <c r="Z26" i="5"/>
  <c r="V95" i="4" s="1"/>
  <c r="L22" i="5"/>
  <c r="K92" i="4" s="1"/>
  <c r="O23" i="5"/>
  <c r="M93" i="4" s="1"/>
  <c r="AA23" i="5"/>
  <c r="W93" i="4" s="1"/>
  <c r="O24" i="5"/>
  <c r="M94" i="4" s="1"/>
  <c r="AA24" i="5"/>
  <c r="W94" i="4" s="1"/>
  <c r="O26" i="5"/>
  <c r="M95" i="4" s="1"/>
  <c r="AA26" i="5"/>
  <c r="W95" i="4" s="1"/>
  <c r="M22" i="5"/>
  <c r="L92" i="4" s="1"/>
  <c r="P23" i="5"/>
  <c r="N93" i="4" s="1"/>
  <c r="AB23" i="5"/>
  <c r="X93" i="4" s="1"/>
  <c r="P24" i="5"/>
  <c r="N94" i="4" s="1"/>
  <c r="AB24" i="5"/>
  <c r="X94" i="4" s="1"/>
  <c r="P26" i="5"/>
  <c r="N95" i="4" s="1"/>
  <c r="AB26" i="5"/>
  <c r="X95" i="4" s="1"/>
  <c r="T22" i="5"/>
  <c r="Q92" i="4" s="1"/>
  <c r="R22" i="5"/>
  <c r="P92" i="4" s="1"/>
  <c r="W22" i="5"/>
  <c r="T92" i="4" s="1"/>
  <c r="U22" i="5"/>
  <c r="R92" i="4" s="1"/>
  <c r="AA21" i="5"/>
  <c r="W91" i="4" s="1"/>
  <c r="AB21" i="5"/>
  <c r="X91" i="4" s="1"/>
  <c r="G38" i="6"/>
  <c r="E20" i="6"/>
  <c r="H25" i="6"/>
  <c r="F38" i="6"/>
  <c r="K38" i="6"/>
  <c r="E61" i="6"/>
  <c r="E66" i="6" s="1"/>
  <c r="D48" i="6"/>
  <c r="J38" i="6"/>
  <c r="F20" i="6"/>
  <c r="D25" i="6"/>
  <c r="F138" i="6"/>
  <c r="I38" i="6"/>
  <c r="E103" i="6"/>
  <c r="G52" i="6"/>
  <c r="D95" i="6"/>
  <c r="K25" i="6"/>
  <c r="E138" i="6"/>
  <c r="D118" i="6"/>
  <c r="H38" i="6"/>
  <c r="J25" i="6"/>
  <c r="E85" i="6"/>
  <c r="E86" i="6" s="1"/>
  <c r="D138" i="6"/>
  <c r="H120" i="6"/>
  <c r="E118" i="6"/>
  <c r="D103" i="6"/>
  <c r="H52" i="6"/>
  <c r="H98" i="6"/>
  <c r="G101" i="6"/>
  <c r="H101" i="6" s="1"/>
  <c r="I101" i="6" s="1"/>
  <c r="J101" i="6" s="1"/>
  <c r="K101" i="6" s="1"/>
  <c r="L101" i="6" s="1"/>
  <c r="H95" i="6"/>
  <c r="K127" i="6"/>
  <c r="J138" i="6"/>
  <c r="D123" i="6"/>
  <c r="F103" i="6"/>
  <c r="H58" i="6"/>
  <c r="G61" i="6"/>
  <c r="G66" i="6" s="1"/>
  <c r="I15" i="6"/>
  <c r="H138" i="6"/>
  <c r="G95" i="6"/>
  <c r="H76" i="6"/>
  <c r="G138" i="6"/>
  <c r="F118" i="6"/>
  <c r="I138" i="6"/>
  <c r="E95" i="6"/>
  <c r="F95" i="6"/>
  <c r="F86" i="6"/>
  <c r="F123" i="6"/>
  <c r="I91" i="6"/>
  <c r="I50" i="6"/>
  <c r="F61" i="6"/>
  <c r="F66" i="6" s="1"/>
  <c r="G16" i="6"/>
  <c r="H16" i="6" s="1"/>
  <c r="I16" i="6" s="1"/>
  <c r="J16" i="6" s="1"/>
  <c r="K16" i="6" s="1"/>
  <c r="L16" i="6" s="1"/>
  <c r="L169" i="4" l="1"/>
  <c r="K8" i="8"/>
  <c r="K19" i="8" s="1"/>
  <c r="L120" i="5"/>
  <c r="E92" i="4"/>
  <c r="E97" i="4" s="1"/>
  <c r="D53" i="6"/>
  <c r="F101" i="4"/>
  <c r="I100" i="4"/>
  <c r="I99" i="4"/>
  <c r="S22" i="5"/>
  <c r="M92" i="4"/>
  <c r="J84" i="4"/>
  <c r="I97" i="4"/>
  <c r="G96" i="4"/>
  <c r="I85" i="4"/>
  <c r="I83" i="4"/>
  <c r="I57" i="4"/>
  <c r="J57" i="4" s="1"/>
  <c r="K57" i="4" s="1"/>
  <c r="L57" i="4" s="1"/>
  <c r="M57" i="4" s="1"/>
  <c r="I58" i="4"/>
  <c r="J58" i="4" s="1"/>
  <c r="K58" i="4" s="1"/>
  <c r="L58" i="4" s="1"/>
  <c r="M58" i="4" s="1"/>
  <c r="L15" i="7"/>
  <c r="M15" i="7" s="1"/>
  <c r="O15" i="7" s="1"/>
  <c r="P15" i="7" s="1"/>
  <c r="Q15" i="7" s="1"/>
  <c r="R15" i="7" s="1"/>
  <c r="T15" i="7" s="1"/>
  <c r="U15" i="7" s="1"/>
  <c r="V15" i="7" s="1"/>
  <c r="W15" i="7" s="1"/>
  <c r="Y15" i="7" s="1"/>
  <c r="Z15" i="7" s="1"/>
  <c r="AA15" i="7" s="1"/>
  <c r="AB15" i="7" s="1"/>
  <c r="AA84" i="11"/>
  <c r="W137" i="4" s="1"/>
  <c r="X137" i="4" s="1"/>
  <c r="G84" i="11"/>
  <c r="G137" i="4" s="1"/>
  <c r="V73" i="11"/>
  <c r="G54" i="7"/>
  <c r="F51" i="7"/>
  <c r="F34" i="5" s="1"/>
  <c r="F116" i="4" s="1"/>
  <c r="F121" i="4" s="1"/>
  <c r="K78" i="11"/>
  <c r="K21" i="5" s="1"/>
  <c r="J91" i="4" s="1"/>
  <c r="T78" i="11"/>
  <c r="T21" i="5" s="1"/>
  <c r="Q91" i="4" s="1"/>
  <c r="P78" i="11"/>
  <c r="P21" i="5" s="1"/>
  <c r="N91" i="4" s="1"/>
  <c r="U78" i="11"/>
  <c r="E29" i="5"/>
  <c r="E112" i="4" s="1"/>
  <c r="E117" i="4" s="1"/>
  <c r="E28" i="7"/>
  <c r="E29" i="7" s="1"/>
  <c r="N23" i="5"/>
  <c r="J21" i="8"/>
  <c r="B83" i="5"/>
  <c r="B91" i="5" s="1"/>
  <c r="G51" i="7"/>
  <c r="G34" i="5" s="1"/>
  <c r="G116" i="4" s="1"/>
  <c r="G121" i="4" s="1"/>
  <c r="G122" i="4" s="1"/>
  <c r="O3" i="7"/>
  <c r="P3" i="7" s="1"/>
  <c r="Q3" i="7" s="1"/>
  <c r="R3" i="7" s="1"/>
  <c r="T3" i="7" s="1"/>
  <c r="U3" i="7" s="1"/>
  <c r="V3" i="7" s="1"/>
  <c r="W3" i="7" s="1"/>
  <c r="Y3" i="7" s="1"/>
  <c r="Z3" i="7" s="1"/>
  <c r="AA3" i="7" s="1"/>
  <c r="AB3" i="7" s="1"/>
  <c r="F53" i="6"/>
  <c r="K15" i="8"/>
  <c r="C40" i="8"/>
  <c r="O21" i="5"/>
  <c r="M91" i="4" s="1"/>
  <c r="Y21" i="5"/>
  <c r="U91" i="4" s="1"/>
  <c r="K183" i="4"/>
  <c r="K176" i="4" s="1"/>
  <c r="K174" i="4"/>
  <c r="E53" i="6"/>
  <c r="S23" i="5"/>
  <c r="AC24" i="5"/>
  <c r="AC22" i="5"/>
  <c r="D96" i="6"/>
  <c r="D104" i="6" s="1"/>
  <c r="S24" i="5"/>
  <c r="X26" i="5"/>
  <c r="G123" i="6"/>
  <c r="E27" i="6"/>
  <c r="E29" i="6" s="1"/>
  <c r="E39" i="6" s="1"/>
  <c r="AC23" i="5"/>
  <c r="AC26" i="5"/>
  <c r="X24" i="5"/>
  <c r="X23" i="5"/>
  <c r="X22" i="5"/>
  <c r="O8" i="8"/>
  <c r="S26" i="5"/>
  <c r="N22" i="5"/>
  <c r="N26" i="5"/>
  <c r="N24" i="5"/>
  <c r="M46" i="5"/>
  <c r="M120" i="5" s="1"/>
  <c r="E48" i="7"/>
  <c r="E30" i="5" s="1"/>
  <c r="E113" i="4" s="1"/>
  <c r="E118" i="4" s="1"/>
  <c r="Z21" i="5"/>
  <c r="V91" i="4" s="1"/>
  <c r="E72" i="11"/>
  <c r="E8" i="5" s="1"/>
  <c r="F47" i="11"/>
  <c r="F49" i="11" s="1"/>
  <c r="E21" i="5"/>
  <c r="E91" i="4" s="1"/>
  <c r="E96" i="4" s="1"/>
  <c r="E74" i="11"/>
  <c r="E63" i="11"/>
  <c r="J21" i="5"/>
  <c r="E20" i="7"/>
  <c r="E21" i="7" s="1"/>
  <c r="F28" i="7"/>
  <c r="F31" i="5"/>
  <c r="F114" i="4" s="1"/>
  <c r="F119" i="4" s="1"/>
  <c r="D27" i="6"/>
  <c r="D29" i="6" s="1"/>
  <c r="D39" i="6" s="1"/>
  <c r="F27" i="6"/>
  <c r="F29" i="6" s="1"/>
  <c r="F39" i="6" s="1"/>
  <c r="O160" i="4"/>
  <c r="O162" i="4" s="1"/>
  <c r="N17" i="4"/>
  <c r="V37" i="4"/>
  <c r="X18" i="8"/>
  <c r="D140" i="6"/>
  <c r="L83" i="4"/>
  <c r="L96" i="4" s="1"/>
  <c r="J86" i="4"/>
  <c r="J99" i="4" s="1"/>
  <c r="J87" i="4"/>
  <c r="J100" i="4" s="1"/>
  <c r="H54" i="4"/>
  <c r="J59" i="4"/>
  <c r="H55" i="4"/>
  <c r="G20" i="6"/>
  <c r="G43" i="6" s="1"/>
  <c r="G78" i="6"/>
  <c r="H78" i="6" s="1"/>
  <c r="I78" i="6" s="1"/>
  <c r="E140" i="6"/>
  <c r="E96" i="6"/>
  <c r="E104" i="6" s="1"/>
  <c r="G26" i="6"/>
  <c r="H26" i="6" s="1"/>
  <c r="I26" i="6" s="1"/>
  <c r="J91" i="6"/>
  <c r="I95" i="6"/>
  <c r="H123" i="6"/>
  <c r="I120" i="6"/>
  <c r="J50" i="6"/>
  <c r="I52" i="6"/>
  <c r="I20" i="6"/>
  <c r="I43" i="6"/>
  <c r="I112" i="6"/>
  <c r="J15" i="6"/>
  <c r="F96" i="6"/>
  <c r="F104" i="6" s="1"/>
  <c r="I76" i="6"/>
  <c r="H112" i="6"/>
  <c r="H43" i="6"/>
  <c r="H61" i="6"/>
  <c r="H66" i="6" s="1"/>
  <c r="I58" i="6"/>
  <c r="H20" i="6"/>
  <c r="I98" i="6"/>
  <c r="G79" i="6"/>
  <c r="H79" i="6" s="1"/>
  <c r="I79" i="6" s="1"/>
  <c r="F140" i="6"/>
  <c r="K138" i="6"/>
  <c r="L127" i="6"/>
  <c r="L138" i="6" s="1"/>
  <c r="D54" i="6" l="1"/>
  <c r="D56" i="6" s="1"/>
  <c r="D67" i="6" s="1"/>
  <c r="D69" i="6" s="1"/>
  <c r="D72" i="6" s="1"/>
  <c r="E101" i="4"/>
  <c r="I91" i="4"/>
  <c r="I96" i="4" s="1"/>
  <c r="N21" i="5"/>
  <c r="J85" i="4"/>
  <c r="I98" i="4"/>
  <c r="K84" i="4"/>
  <c r="J97" i="4"/>
  <c r="M83" i="4"/>
  <c r="M96" i="4" s="1"/>
  <c r="J83" i="4"/>
  <c r="J96" i="4" s="1"/>
  <c r="N57" i="4"/>
  <c r="O57" i="4" s="1"/>
  <c r="E22" i="7"/>
  <c r="F60" i="11"/>
  <c r="F50" i="11"/>
  <c r="L84" i="11"/>
  <c r="K137" i="4" s="1"/>
  <c r="L137" i="4" s="1"/>
  <c r="M137" i="4" s="1"/>
  <c r="N137" i="4" s="1"/>
  <c r="Q84" i="11"/>
  <c r="O137" i="4" s="1"/>
  <c r="P137" i="4" s="1"/>
  <c r="Q137" i="4" s="1"/>
  <c r="R137" i="4" s="1"/>
  <c r="U21" i="5"/>
  <c r="V84" i="11"/>
  <c r="S137" i="4" s="1"/>
  <c r="T137" i="4" s="1"/>
  <c r="U137" i="4" s="1"/>
  <c r="V137" i="4" s="1"/>
  <c r="H7" i="7"/>
  <c r="F54" i="6"/>
  <c r="F56" i="6" s="1"/>
  <c r="F67" i="6" s="1"/>
  <c r="F69" i="6" s="1"/>
  <c r="F72" i="6" s="1"/>
  <c r="F25" i="7"/>
  <c r="F27" i="7" s="1"/>
  <c r="F29" i="7" s="1"/>
  <c r="E153" i="4"/>
  <c r="J79" i="6"/>
  <c r="F41" i="6"/>
  <c r="E142" i="6"/>
  <c r="K184" i="4"/>
  <c r="L181" i="4" s="1"/>
  <c r="H31" i="5"/>
  <c r="H114" i="4" s="1"/>
  <c r="H119" i="4" s="1"/>
  <c r="AC21" i="5"/>
  <c r="E41" i="6"/>
  <c r="L7" i="8"/>
  <c r="N46" i="5"/>
  <c r="E17" i="13" s="1"/>
  <c r="E76" i="4"/>
  <c r="E66" i="4" s="1"/>
  <c r="Q47" i="5"/>
  <c r="N58" i="4"/>
  <c r="O58" i="4" s="1"/>
  <c r="P58" i="4" s="1"/>
  <c r="Q58" i="4" s="1"/>
  <c r="L16" i="4"/>
  <c r="M166" i="4"/>
  <c r="O13" i="8"/>
  <c r="F48" i="7"/>
  <c r="F30" i="5" s="1"/>
  <c r="F113" i="4" s="1"/>
  <c r="F118" i="4" s="1"/>
  <c r="F33" i="7"/>
  <c r="F39" i="7" s="1"/>
  <c r="G39" i="7"/>
  <c r="E31" i="5"/>
  <c r="E114" i="4" s="1"/>
  <c r="E119" i="4" s="1"/>
  <c r="E37" i="11"/>
  <c r="E152" i="4" s="1"/>
  <c r="E51" i="7"/>
  <c r="F29" i="5"/>
  <c r="F112" i="4" s="1"/>
  <c r="F117" i="4" s="1"/>
  <c r="G112" i="6"/>
  <c r="G45" i="6" s="1"/>
  <c r="E54" i="6"/>
  <c r="E56" i="6" s="1"/>
  <c r="E67" i="6" s="1"/>
  <c r="E69" i="6" s="1"/>
  <c r="E72" i="6" s="1"/>
  <c r="G110" i="6"/>
  <c r="H110" i="6" s="1"/>
  <c r="I45" i="6"/>
  <c r="E132" i="4"/>
  <c r="E144" i="4" s="1"/>
  <c r="O163" i="4"/>
  <c r="W37" i="4"/>
  <c r="Y18" i="8"/>
  <c r="D142" i="6"/>
  <c r="J78" i="6"/>
  <c r="H27" i="6"/>
  <c r="G46" i="6"/>
  <c r="H46" i="6" s="1"/>
  <c r="K86" i="4"/>
  <c r="K99" i="4" s="1"/>
  <c r="K87" i="4"/>
  <c r="K100" i="4" s="1"/>
  <c r="K59" i="4"/>
  <c r="I54" i="4"/>
  <c r="I56" i="4"/>
  <c r="I27" i="6"/>
  <c r="G27" i="6"/>
  <c r="G28" i="6" s="1"/>
  <c r="I61" i="6"/>
  <c r="I66" i="6" s="1"/>
  <c r="J58" i="6"/>
  <c r="F142" i="6"/>
  <c r="J76" i="6"/>
  <c r="K50" i="6"/>
  <c r="J52" i="6"/>
  <c r="J120" i="6"/>
  <c r="I123" i="6"/>
  <c r="J98" i="6"/>
  <c r="J112" i="6"/>
  <c r="J20" i="6"/>
  <c r="J43" i="6"/>
  <c r="K15" i="6"/>
  <c r="K91" i="6"/>
  <c r="J95" i="6"/>
  <c r="J26" i="6"/>
  <c r="H45" i="6" l="1"/>
  <c r="F122" i="4"/>
  <c r="X21" i="5"/>
  <c r="R91" i="4"/>
  <c r="I101" i="4"/>
  <c r="L84" i="4"/>
  <c r="K97" i="4"/>
  <c r="K85" i="4"/>
  <c r="J98" i="4"/>
  <c r="J101" i="4" s="1"/>
  <c r="N83" i="4"/>
  <c r="N96" i="4" s="1"/>
  <c r="H137" i="4"/>
  <c r="I137" i="4" s="1"/>
  <c r="J137" i="4" s="1"/>
  <c r="H48" i="7"/>
  <c r="H30" i="5" s="1"/>
  <c r="H113" i="4" s="1"/>
  <c r="H118" i="4" s="1"/>
  <c r="H33" i="7"/>
  <c r="H39" i="7" s="1"/>
  <c r="M168" i="4"/>
  <c r="F62" i="11"/>
  <c r="F63" i="11" s="1"/>
  <c r="F72" i="11"/>
  <c r="H26" i="7"/>
  <c r="H47" i="7" s="1"/>
  <c r="E34" i="5"/>
  <c r="E116" i="4" s="1"/>
  <c r="E121" i="4" s="1"/>
  <c r="E122" i="4" s="1"/>
  <c r="I31" i="5"/>
  <c r="H34" i="5"/>
  <c r="H116" i="4" s="1"/>
  <c r="H121" i="4" s="1"/>
  <c r="K79" i="6"/>
  <c r="H28" i="7"/>
  <c r="G25" i="7"/>
  <c r="F153" i="4"/>
  <c r="E155" i="4"/>
  <c r="K177" i="4"/>
  <c r="K31" i="4" s="1"/>
  <c r="K20" i="8" s="1"/>
  <c r="C41" i="8" s="1"/>
  <c r="J6" i="7"/>
  <c r="J7" i="7" s="1"/>
  <c r="L183" i="4"/>
  <c r="L176" i="4" s="1"/>
  <c r="L174" i="4"/>
  <c r="P8" i="8"/>
  <c r="L14" i="8"/>
  <c r="R58" i="4"/>
  <c r="S58" i="4" s="1"/>
  <c r="T58" i="4" s="1"/>
  <c r="U58" i="4" s="1"/>
  <c r="E31" i="7"/>
  <c r="E12" i="5" s="1"/>
  <c r="F19" i="7"/>
  <c r="F21" i="7" s="1"/>
  <c r="F33" i="11"/>
  <c r="F35" i="11" s="1"/>
  <c r="G47" i="11"/>
  <c r="G49" i="11" s="1"/>
  <c r="O19" i="8"/>
  <c r="E10" i="5"/>
  <c r="K26" i="6"/>
  <c r="H28" i="6"/>
  <c r="I28" i="6" s="1"/>
  <c r="I29" i="6" s="1"/>
  <c r="I39" i="6" s="1"/>
  <c r="P160" i="4"/>
  <c r="P162" i="4" s="1"/>
  <c r="O17" i="4"/>
  <c r="X37" i="4"/>
  <c r="AA18" i="8" s="1"/>
  <c r="Z18" i="8"/>
  <c r="I46" i="6"/>
  <c r="J46" i="6" s="1"/>
  <c r="H48" i="6"/>
  <c r="H53" i="6" s="1"/>
  <c r="G48" i="6"/>
  <c r="G53" i="6" s="1"/>
  <c r="E131" i="4"/>
  <c r="E143" i="4" s="1"/>
  <c r="P57" i="4"/>
  <c r="L86" i="4"/>
  <c r="L87" i="4"/>
  <c r="J56" i="4"/>
  <c r="J54" i="4"/>
  <c r="L59" i="4"/>
  <c r="M59" i="4" s="1"/>
  <c r="J55" i="4"/>
  <c r="E9" i="5"/>
  <c r="K6" i="7"/>
  <c r="K7" i="7" s="1"/>
  <c r="K98" i="6"/>
  <c r="G29" i="6"/>
  <c r="G39" i="6" s="1"/>
  <c r="I110" i="6"/>
  <c r="K95" i="6"/>
  <c r="L91" i="6"/>
  <c r="L95" i="6" s="1"/>
  <c r="L15" i="6"/>
  <c r="K20" i="6"/>
  <c r="K43" i="6"/>
  <c r="K112" i="6"/>
  <c r="K76" i="6"/>
  <c r="K58" i="6"/>
  <c r="J61" i="6"/>
  <c r="J66" i="6" s="1"/>
  <c r="K120" i="6"/>
  <c r="J123" i="6"/>
  <c r="J45" i="6"/>
  <c r="L50" i="6"/>
  <c r="L52" i="6" s="1"/>
  <c r="K52" i="6"/>
  <c r="J27" i="6"/>
  <c r="K78" i="6"/>
  <c r="M169" i="4" l="1"/>
  <c r="E40" i="5"/>
  <c r="E126" i="4"/>
  <c r="E124" i="4"/>
  <c r="E26" i="4" s="1"/>
  <c r="F126" i="4"/>
  <c r="F124" i="4"/>
  <c r="F26" i="4" s="1"/>
  <c r="M86" i="4"/>
  <c r="L99" i="4"/>
  <c r="M87" i="4"/>
  <c r="L100" i="4"/>
  <c r="L85" i="4"/>
  <c r="K98" i="4"/>
  <c r="K101" i="4" s="1"/>
  <c r="M84" i="4"/>
  <c r="L97" i="4"/>
  <c r="O83" i="4"/>
  <c r="O96" i="4" s="1"/>
  <c r="F74" i="11"/>
  <c r="F9" i="5" s="1"/>
  <c r="F77" i="4" s="1"/>
  <c r="F67" i="4" s="1"/>
  <c r="G50" i="11"/>
  <c r="W73" i="11"/>
  <c r="G27" i="7"/>
  <c r="G29" i="7" s="1"/>
  <c r="I34" i="5"/>
  <c r="G55" i="7"/>
  <c r="H29" i="5"/>
  <c r="H112" i="4" s="1"/>
  <c r="H117" i="4" s="1"/>
  <c r="H122" i="4" s="1"/>
  <c r="K21" i="8"/>
  <c r="L15" i="8"/>
  <c r="I30" i="5"/>
  <c r="I48" i="6"/>
  <c r="I53" i="6" s="1"/>
  <c r="I54" i="6" s="1"/>
  <c r="I56" i="6" s="1"/>
  <c r="I67" i="6" s="1"/>
  <c r="L184" i="4"/>
  <c r="L177" i="4" s="1"/>
  <c r="L31" i="4" s="1"/>
  <c r="J20" i="7"/>
  <c r="K20" i="7"/>
  <c r="K54" i="7" s="1"/>
  <c r="K27" i="6"/>
  <c r="L26" i="6"/>
  <c r="E77" i="4"/>
  <c r="E67" i="4" s="1"/>
  <c r="E78" i="4"/>
  <c r="E68" i="4" s="1"/>
  <c r="V58" i="4"/>
  <c r="W58" i="4" s="1"/>
  <c r="X58" i="4" s="1"/>
  <c r="O46" i="5"/>
  <c r="R47" i="5"/>
  <c r="P13" i="8"/>
  <c r="E73" i="4"/>
  <c r="E128" i="4"/>
  <c r="G72" i="11"/>
  <c r="F37" i="11"/>
  <c r="G33" i="11" s="1"/>
  <c r="G35" i="11" s="1"/>
  <c r="H29" i="6"/>
  <c r="H39" i="6" s="1"/>
  <c r="H54" i="6" s="1"/>
  <c r="H56" i="6" s="1"/>
  <c r="H67" i="6" s="1"/>
  <c r="J48" i="6"/>
  <c r="J53" i="6" s="1"/>
  <c r="P163" i="4"/>
  <c r="F10" i="5"/>
  <c r="F78" i="4" s="1"/>
  <c r="F68" i="4" s="1"/>
  <c r="E133" i="4"/>
  <c r="E145" i="4" s="1"/>
  <c r="F8" i="5"/>
  <c r="Q57" i="4"/>
  <c r="K54" i="4"/>
  <c r="K56" i="4"/>
  <c r="L6" i="7"/>
  <c r="L7" i="7" s="1"/>
  <c r="K46" i="6"/>
  <c r="G54" i="6"/>
  <c r="G56" i="6" s="1"/>
  <c r="G67" i="6" s="1"/>
  <c r="G41" i="6"/>
  <c r="J110" i="6"/>
  <c r="L20" i="6"/>
  <c r="L43" i="6"/>
  <c r="L112" i="6"/>
  <c r="L45" i="6" s="1"/>
  <c r="K123" i="6"/>
  <c r="L120" i="6"/>
  <c r="L123" i="6" s="1"/>
  <c r="J28" i="6"/>
  <c r="K45" i="6"/>
  <c r="L58" i="6"/>
  <c r="L61" i="6" s="1"/>
  <c r="L66" i="6" s="1"/>
  <c r="K61" i="6"/>
  <c r="K66" i="6" s="1"/>
  <c r="L98" i="6"/>
  <c r="L78" i="6"/>
  <c r="L79" i="6"/>
  <c r="L76" i="6"/>
  <c r="L27" i="6" l="1"/>
  <c r="K28" i="6"/>
  <c r="K29" i="6" s="1"/>
  <c r="K39" i="6" s="1"/>
  <c r="L20" i="8"/>
  <c r="L21" i="8" s="1"/>
  <c r="N87" i="4"/>
  <c r="M100" i="4"/>
  <c r="N86" i="4"/>
  <c r="M99" i="4"/>
  <c r="N84" i="4"/>
  <c r="M97" i="4"/>
  <c r="M85" i="4"/>
  <c r="L98" i="4"/>
  <c r="L101" i="4" s="1"/>
  <c r="P83" i="4"/>
  <c r="P96" i="4" s="1"/>
  <c r="F31" i="7"/>
  <c r="F12" i="5" s="1"/>
  <c r="F22" i="7"/>
  <c r="G19" i="7" s="1"/>
  <c r="G21" i="7" s="1"/>
  <c r="G60" i="11"/>
  <c r="H25" i="7"/>
  <c r="H27" i="7" s="1"/>
  <c r="H29" i="7" s="1"/>
  <c r="H153" i="4" s="1"/>
  <c r="G153" i="4"/>
  <c r="L28" i="7"/>
  <c r="H55" i="7"/>
  <c r="H135" i="4" s="1"/>
  <c r="G135" i="4"/>
  <c r="E55" i="7"/>
  <c r="Y73" i="11"/>
  <c r="I29" i="5"/>
  <c r="J54" i="7"/>
  <c r="F152" i="4"/>
  <c r="F155" i="4" s="1"/>
  <c r="G37" i="11"/>
  <c r="H33" i="11" s="1"/>
  <c r="H35" i="11" s="1"/>
  <c r="M181" i="4"/>
  <c r="M174" i="4" s="1"/>
  <c r="I41" i="6"/>
  <c r="K48" i="7"/>
  <c r="K30" i="5" s="1"/>
  <c r="J113" i="4" s="1"/>
  <c r="J118" i="4" s="1"/>
  <c r="K26" i="7"/>
  <c r="K47" i="7" s="1"/>
  <c r="K28" i="7"/>
  <c r="J26" i="7"/>
  <c r="J47" i="7" s="1"/>
  <c r="J28" i="7"/>
  <c r="J51" i="7"/>
  <c r="J31" i="5"/>
  <c r="I114" i="4" s="1"/>
  <c r="I119" i="4" s="1"/>
  <c r="K51" i="7"/>
  <c r="K34" i="5" s="1"/>
  <c r="J116" i="4" s="1"/>
  <c r="J121" i="4" s="1"/>
  <c r="K31" i="5"/>
  <c r="J114" i="4" s="1"/>
  <c r="J119" i="4" s="1"/>
  <c r="J48" i="7"/>
  <c r="J30" i="5" s="1"/>
  <c r="I113" i="4" s="1"/>
  <c r="I118" i="4" s="1"/>
  <c r="H41" i="6"/>
  <c r="K48" i="6"/>
  <c r="K53" i="6" s="1"/>
  <c r="Q8" i="8"/>
  <c r="S47" i="5"/>
  <c r="F18" i="13" s="1"/>
  <c r="N7" i="8"/>
  <c r="F76" i="4"/>
  <c r="F66" i="4" s="1"/>
  <c r="N166" i="4"/>
  <c r="M16" i="4"/>
  <c r="E63" i="4"/>
  <c r="G131" i="4"/>
  <c r="P19" i="8"/>
  <c r="F132" i="4"/>
  <c r="F144" i="4" s="1"/>
  <c r="Q160" i="4"/>
  <c r="Q162" i="4" s="1"/>
  <c r="P17" i="4"/>
  <c r="R57" i="4"/>
  <c r="L56" i="4"/>
  <c r="M56" i="4" s="1"/>
  <c r="L54" i="4"/>
  <c r="N59" i="4"/>
  <c r="L55" i="4"/>
  <c r="M6" i="7"/>
  <c r="M7" i="7" s="1"/>
  <c r="M28" i="7" s="1"/>
  <c r="L28" i="6"/>
  <c r="L29" i="6" s="1"/>
  <c r="L39" i="6" s="1"/>
  <c r="K110" i="6"/>
  <c r="G68" i="6"/>
  <c r="L46" i="6"/>
  <c r="L48" i="6" s="1"/>
  <c r="L53" i="6" s="1"/>
  <c r="J29" i="6"/>
  <c r="J39" i="6" s="1"/>
  <c r="K41" i="6" s="1"/>
  <c r="K54" i="6" l="1"/>
  <c r="K56" i="6" s="1"/>
  <c r="K67" i="6" s="1"/>
  <c r="F128" i="4"/>
  <c r="F40" i="5"/>
  <c r="F73" i="4"/>
  <c r="F63" i="4" s="1"/>
  <c r="J25" i="7"/>
  <c r="J27" i="7" s="1"/>
  <c r="J29" i="7" s="1"/>
  <c r="K25" i="7" s="1"/>
  <c r="K27" i="7" s="1"/>
  <c r="K29" i="7" s="1"/>
  <c r="G62" i="11"/>
  <c r="G74" i="11" s="1"/>
  <c r="O86" i="4"/>
  <c r="N99" i="4"/>
  <c r="O87" i="4"/>
  <c r="N100" i="4"/>
  <c r="N85" i="4"/>
  <c r="M98" i="4"/>
  <c r="M101" i="4" s="1"/>
  <c r="O84" i="4"/>
  <c r="N97" i="4"/>
  <c r="Q83" i="4"/>
  <c r="Q96" i="4" s="1"/>
  <c r="N168" i="4"/>
  <c r="M184" i="4"/>
  <c r="N181" i="4" s="1"/>
  <c r="J34" i="5"/>
  <c r="I116" i="4" s="1"/>
  <c r="I121" i="4" s="1"/>
  <c r="F55" i="7"/>
  <c r="F135" i="4" s="1"/>
  <c r="E135" i="4"/>
  <c r="E140" i="4" s="1"/>
  <c r="K29" i="5"/>
  <c r="J112" i="4" s="1"/>
  <c r="J117" i="4" s="1"/>
  <c r="J122" i="4" s="1"/>
  <c r="L54" i="7"/>
  <c r="J29" i="5"/>
  <c r="I112" i="4" s="1"/>
  <c r="I117" i="4" s="1"/>
  <c r="G152" i="4"/>
  <c r="G155" i="4" s="1"/>
  <c r="H47" i="11"/>
  <c r="H49" i="11" s="1"/>
  <c r="L48" i="7"/>
  <c r="L30" i="5" s="1"/>
  <c r="K113" i="4" s="1"/>
  <c r="K118" i="4" s="1"/>
  <c r="M20" i="7"/>
  <c r="L51" i="7"/>
  <c r="L34" i="5" s="1"/>
  <c r="K116" i="4" s="1"/>
  <c r="K121" i="4" s="1"/>
  <c r="L31" i="5"/>
  <c r="K114" i="4" s="1"/>
  <c r="K119" i="4" s="1"/>
  <c r="N14" i="8"/>
  <c r="T47" i="5"/>
  <c r="Q13" i="8"/>
  <c r="F131" i="4"/>
  <c r="F143" i="4" s="1"/>
  <c r="F133" i="4"/>
  <c r="F145" i="4" s="1"/>
  <c r="S57" i="4"/>
  <c r="M55" i="4"/>
  <c r="O59" i="4"/>
  <c r="M54" i="4"/>
  <c r="O6" i="7"/>
  <c r="O7" i="7" s="1"/>
  <c r="O28" i="7" s="1"/>
  <c r="L41" i="6"/>
  <c r="L54" i="6"/>
  <c r="L56" i="6" s="1"/>
  <c r="L67" i="6" s="1"/>
  <c r="J41" i="6"/>
  <c r="J54" i="6"/>
  <c r="J56" i="6" s="1"/>
  <c r="J67" i="6" s="1"/>
  <c r="H68" i="6"/>
  <c r="G80" i="6"/>
  <c r="G69" i="6"/>
  <c r="G72" i="6" s="1"/>
  <c r="G102" i="6" s="1"/>
  <c r="L110" i="6"/>
  <c r="N169" i="4" l="1"/>
  <c r="F140" i="4"/>
  <c r="G63" i="11"/>
  <c r="I62" i="11" s="1"/>
  <c r="H72" i="11"/>
  <c r="I122" i="4"/>
  <c r="I124" i="4" s="1"/>
  <c r="I26" i="4" s="1"/>
  <c r="J126" i="4"/>
  <c r="J124" i="4"/>
  <c r="J26" i="4" s="1"/>
  <c r="P87" i="4"/>
  <c r="O100" i="4"/>
  <c r="P86" i="4"/>
  <c r="O99" i="4"/>
  <c r="P84" i="4"/>
  <c r="O97" i="4"/>
  <c r="O85" i="4"/>
  <c r="N98" i="4"/>
  <c r="N101" i="4" s="1"/>
  <c r="R83" i="4"/>
  <c r="R96" i="4" s="1"/>
  <c r="G22" i="7"/>
  <c r="H19" i="7" s="1"/>
  <c r="H21" i="7" s="1"/>
  <c r="M177" i="4"/>
  <c r="M31" i="4" s="1"/>
  <c r="N20" i="8" s="1"/>
  <c r="N21" i="8" s="1"/>
  <c r="G31" i="7"/>
  <c r="H37" i="11"/>
  <c r="M54" i="7"/>
  <c r="I153" i="4"/>
  <c r="N15" i="8"/>
  <c r="M48" i="7"/>
  <c r="M30" i="5" s="1"/>
  <c r="L113" i="4" s="1"/>
  <c r="L118" i="4" s="1"/>
  <c r="J153" i="4"/>
  <c r="L25" i="7"/>
  <c r="O20" i="7"/>
  <c r="M51" i="7"/>
  <c r="M34" i="5" s="1"/>
  <c r="M31" i="5"/>
  <c r="L114" i="4" s="1"/>
  <c r="L119" i="4" s="1"/>
  <c r="N184" i="4"/>
  <c r="N174" i="4"/>
  <c r="S8" i="8"/>
  <c r="P46" i="5"/>
  <c r="Q19" i="8"/>
  <c r="Z73" i="11"/>
  <c r="Q163" i="4"/>
  <c r="R160" i="4" s="1"/>
  <c r="R162" i="4" s="1"/>
  <c r="T57" i="4"/>
  <c r="N56" i="4"/>
  <c r="N54" i="4"/>
  <c r="P59" i="4"/>
  <c r="N55" i="4"/>
  <c r="M29" i="5"/>
  <c r="L112" i="4" s="1"/>
  <c r="L117" i="4" s="1"/>
  <c r="P6" i="7"/>
  <c r="P7" i="7" s="1"/>
  <c r="P28" i="7" s="1"/>
  <c r="H80" i="6"/>
  <c r="I68" i="6"/>
  <c r="H69" i="6"/>
  <c r="H72" i="6" s="1"/>
  <c r="H73" i="6" s="1"/>
  <c r="G103" i="6"/>
  <c r="G117" i="6"/>
  <c r="G144" i="6" s="1"/>
  <c r="G86" i="6"/>
  <c r="G96" i="6" s="1"/>
  <c r="I126" i="4" l="1"/>
  <c r="H60" i="11"/>
  <c r="H62" i="11" s="1"/>
  <c r="H74" i="11" s="1"/>
  <c r="G12" i="5"/>
  <c r="G73" i="4" s="1"/>
  <c r="G63" i="4" s="1"/>
  <c r="N34" i="5"/>
  <c r="L116" i="4"/>
  <c r="L121" i="4" s="1"/>
  <c r="L122" i="4" s="1"/>
  <c r="Q86" i="4"/>
  <c r="P99" i="4"/>
  <c r="Q87" i="4"/>
  <c r="P100" i="4"/>
  <c r="P85" i="4"/>
  <c r="O98" i="4"/>
  <c r="O101" i="4" s="1"/>
  <c r="Q84" i="4"/>
  <c r="P97" i="4"/>
  <c r="S83" i="4"/>
  <c r="S96" i="4" s="1"/>
  <c r="G128" i="4"/>
  <c r="G140" i="4" s="1"/>
  <c r="H50" i="11"/>
  <c r="J47" i="11" s="1"/>
  <c r="J49" i="11" s="1"/>
  <c r="J33" i="11"/>
  <c r="H152" i="4"/>
  <c r="H155" i="4" s="1"/>
  <c r="L26" i="7"/>
  <c r="L47" i="7" s="1"/>
  <c r="N52" i="7" s="1"/>
  <c r="O54" i="7"/>
  <c r="N30" i="5"/>
  <c r="H102" i="6"/>
  <c r="H103" i="6" s="1"/>
  <c r="O48" i="7"/>
  <c r="O30" i="5" s="1"/>
  <c r="M113" i="4" s="1"/>
  <c r="M118" i="4" s="1"/>
  <c r="O51" i="7"/>
  <c r="O31" i="5"/>
  <c r="M114" i="4" s="1"/>
  <c r="M119" i="4" s="1"/>
  <c r="P20" i="7"/>
  <c r="N31" i="5"/>
  <c r="O181" i="4"/>
  <c r="N177" i="4"/>
  <c r="N31" i="4" s="1"/>
  <c r="O20" i="8" s="1"/>
  <c r="O7" i="8"/>
  <c r="N16" i="4"/>
  <c r="O166" i="4"/>
  <c r="U47" i="5"/>
  <c r="Q17" i="4"/>
  <c r="R163" i="4"/>
  <c r="U57" i="4"/>
  <c r="O55" i="4"/>
  <c r="Q59" i="4"/>
  <c r="O54" i="4"/>
  <c r="O56" i="4"/>
  <c r="O29" i="5"/>
  <c r="M112" i="4" s="1"/>
  <c r="M117" i="4" s="1"/>
  <c r="Q6" i="7"/>
  <c r="Q7" i="7" s="1"/>
  <c r="G104" i="6"/>
  <c r="G106" i="6" s="1"/>
  <c r="G118" i="6" s="1"/>
  <c r="G140" i="6" s="1"/>
  <c r="G142" i="6" s="1"/>
  <c r="I80" i="6"/>
  <c r="J68" i="6"/>
  <c r="I69" i="6"/>
  <c r="I72" i="6" s="1"/>
  <c r="I73" i="6" s="1"/>
  <c r="H117" i="6"/>
  <c r="H144" i="6" s="1"/>
  <c r="H86" i="6"/>
  <c r="H96" i="6" s="1"/>
  <c r="G40" i="5" l="1"/>
  <c r="L126" i="4"/>
  <c r="L124" i="4"/>
  <c r="L26" i="4" s="1"/>
  <c r="R87" i="4"/>
  <c r="Q100" i="4"/>
  <c r="R86" i="4"/>
  <c r="Q99" i="4"/>
  <c r="R84" i="4"/>
  <c r="Q97" i="4"/>
  <c r="Q85" i="4"/>
  <c r="P98" i="4"/>
  <c r="P101" i="4" s="1"/>
  <c r="T83" i="4"/>
  <c r="T96" i="4" s="1"/>
  <c r="O168" i="4"/>
  <c r="H63" i="11"/>
  <c r="J60" i="11" s="1"/>
  <c r="J35" i="11"/>
  <c r="J37" i="11" s="1"/>
  <c r="J72" i="11"/>
  <c r="Q28" i="7"/>
  <c r="L27" i="7"/>
  <c r="O34" i="5"/>
  <c r="M116" i="4" s="1"/>
  <c r="M121" i="4" s="1"/>
  <c r="M122" i="4" s="1"/>
  <c r="AA73" i="11"/>
  <c r="P54" i="7"/>
  <c r="P48" i="7"/>
  <c r="P30" i="5" s="1"/>
  <c r="N113" i="4" s="1"/>
  <c r="N118" i="4" s="1"/>
  <c r="L55" i="7"/>
  <c r="M55" i="7" s="1"/>
  <c r="L135" i="4" s="1"/>
  <c r="O21" i="8"/>
  <c r="Q20" i="7"/>
  <c r="Q54" i="7" s="1"/>
  <c r="P51" i="7"/>
  <c r="P34" i="5" s="1"/>
  <c r="N116" i="4" s="1"/>
  <c r="N121" i="4" s="1"/>
  <c r="P31" i="5"/>
  <c r="N114" i="4" s="1"/>
  <c r="N119" i="4" s="1"/>
  <c r="O184" i="4"/>
  <c r="O174" i="4"/>
  <c r="T8" i="8"/>
  <c r="O14" i="8"/>
  <c r="S13" i="8"/>
  <c r="J50" i="11"/>
  <c r="K47" i="11" s="1"/>
  <c r="K49" i="11" s="1"/>
  <c r="S160" i="4"/>
  <c r="S162" i="4" s="1"/>
  <c r="R17" i="4"/>
  <c r="T13" i="8" s="1"/>
  <c r="V57" i="4"/>
  <c r="P56" i="4"/>
  <c r="P54" i="4"/>
  <c r="R59" i="4"/>
  <c r="P55" i="4"/>
  <c r="P29" i="5"/>
  <c r="N112" i="4" s="1"/>
  <c r="N117" i="4" s="1"/>
  <c r="R6" i="7"/>
  <c r="R7" i="7" s="1"/>
  <c r="K68" i="6"/>
  <c r="J80" i="6"/>
  <c r="J69" i="6"/>
  <c r="J72" i="6" s="1"/>
  <c r="J73" i="6" s="1"/>
  <c r="I117" i="6"/>
  <c r="I144" i="6" s="1"/>
  <c r="I86" i="6"/>
  <c r="I96" i="6" s="1"/>
  <c r="I102" i="6"/>
  <c r="H104" i="6"/>
  <c r="H106" i="6" s="1"/>
  <c r="H118" i="6" s="1"/>
  <c r="H140" i="6" s="1"/>
  <c r="H142" i="6" s="1"/>
  <c r="O169" i="4" l="1"/>
  <c r="M126" i="4"/>
  <c r="M124" i="4"/>
  <c r="M26" i="4" s="1"/>
  <c r="N122" i="4"/>
  <c r="S86" i="4"/>
  <c r="R99" i="4"/>
  <c r="S87" i="4"/>
  <c r="R100" i="4"/>
  <c r="R85" i="4"/>
  <c r="Q98" i="4"/>
  <c r="Q101" i="4" s="1"/>
  <c r="S84" i="4"/>
  <c r="R97" i="4"/>
  <c r="U83" i="4"/>
  <c r="U96" i="4" s="1"/>
  <c r="J62" i="11"/>
  <c r="J74" i="11" s="1"/>
  <c r="K33" i="11"/>
  <c r="K35" i="11" s="1"/>
  <c r="I152" i="4"/>
  <c r="I155" i="4" s="1"/>
  <c r="J55" i="7"/>
  <c r="K55" i="7" s="1"/>
  <c r="J135" i="4" s="1"/>
  <c r="K135" i="4"/>
  <c r="Q48" i="7"/>
  <c r="Q30" i="5" s="1"/>
  <c r="O113" i="4" s="1"/>
  <c r="O118" i="4" s="1"/>
  <c r="O15" i="8"/>
  <c r="L29" i="5"/>
  <c r="K112" i="4" s="1"/>
  <c r="K117" i="4" s="1"/>
  <c r="K122" i="4" s="1"/>
  <c r="L29" i="7"/>
  <c r="R20" i="7"/>
  <c r="Q51" i="7"/>
  <c r="Q34" i="5" s="1"/>
  <c r="O116" i="4" s="1"/>
  <c r="O121" i="4" s="1"/>
  <c r="Q31" i="5"/>
  <c r="O114" i="4" s="1"/>
  <c r="O119" i="4" s="1"/>
  <c r="P181" i="4"/>
  <c r="O177" i="4"/>
  <c r="O31" i="4" s="1"/>
  <c r="P20" i="8" s="1"/>
  <c r="V47" i="5"/>
  <c r="Q46" i="5"/>
  <c r="S19" i="8"/>
  <c r="K72" i="11"/>
  <c r="S163" i="4"/>
  <c r="W57" i="4"/>
  <c r="Q54" i="4"/>
  <c r="S59" i="4"/>
  <c r="Q55" i="4"/>
  <c r="Q56" i="4"/>
  <c r="T6" i="7"/>
  <c r="T7" i="7" s="1"/>
  <c r="J102" i="6"/>
  <c r="I103" i="6"/>
  <c r="I104" i="6" s="1"/>
  <c r="I106" i="6" s="1"/>
  <c r="I118" i="6" s="1"/>
  <c r="I140" i="6" s="1"/>
  <c r="I142" i="6" s="1"/>
  <c r="J117" i="6"/>
  <c r="J144" i="6" s="1"/>
  <c r="J86" i="6"/>
  <c r="J96" i="6" s="1"/>
  <c r="L68" i="6"/>
  <c r="K80" i="6"/>
  <c r="K69" i="6"/>
  <c r="K72" i="6" s="1"/>
  <c r="K73" i="6" s="1"/>
  <c r="K126" i="4" l="1"/>
  <c r="K124" i="4"/>
  <c r="K26" i="4" s="1"/>
  <c r="N126" i="4"/>
  <c r="N124" i="4"/>
  <c r="N26" i="4" s="1"/>
  <c r="T87" i="4"/>
  <c r="S100" i="4"/>
  <c r="T86" i="4"/>
  <c r="S99" i="4"/>
  <c r="T84" i="4"/>
  <c r="S97" i="4"/>
  <c r="S85" i="4"/>
  <c r="R98" i="4"/>
  <c r="R101" i="4" s="1"/>
  <c r="V83" i="4"/>
  <c r="V96" i="4" s="1"/>
  <c r="K37" i="11"/>
  <c r="I135" i="4"/>
  <c r="J63" i="11"/>
  <c r="K60" i="11" s="1"/>
  <c r="K62" i="11" s="1"/>
  <c r="K74" i="11" s="1"/>
  <c r="AB73" i="11"/>
  <c r="R54" i="7"/>
  <c r="N29" i="5"/>
  <c r="R48" i="7"/>
  <c r="R30" i="5" s="1"/>
  <c r="P113" i="4" s="1"/>
  <c r="P118" i="4" s="1"/>
  <c r="R28" i="7"/>
  <c r="K153" i="4"/>
  <c r="M25" i="7"/>
  <c r="P21" i="8"/>
  <c r="T20" i="7"/>
  <c r="R51" i="7"/>
  <c r="R34" i="5" s="1"/>
  <c r="R31" i="5"/>
  <c r="P114" i="4" s="1"/>
  <c r="P119" i="4" s="1"/>
  <c r="P184" i="4"/>
  <c r="P174" i="4"/>
  <c r="U8" i="8"/>
  <c r="P7" i="8"/>
  <c r="P166" i="4"/>
  <c r="O16" i="4"/>
  <c r="K50" i="11"/>
  <c r="L47" i="11" s="1"/>
  <c r="L49" i="11" s="1"/>
  <c r="T160" i="4"/>
  <c r="T162" i="4" s="1"/>
  <c r="S17" i="4"/>
  <c r="X57" i="4"/>
  <c r="R56" i="4"/>
  <c r="R55" i="4"/>
  <c r="T59" i="4"/>
  <c r="R54" i="4"/>
  <c r="R29" i="5"/>
  <c r="P112" i="4" s="1"/>
  <c r="P117" i="4" s="1"/>
  <c r="U6" i="7"/>
  <c r="U7" i="7" s="1"/>
  <c r="Q26" i="7" s="1"/>
  <c r="L80" i="6"/>
  <c r="L69" i="6"/>
  <c r="L72" i="6" s="1"/>
  <c r="L73" i="6" s="1"/>
  <c r="K117" i="6"/>
  <c r="K144" i="6" s="1"/>
  <c r="K86" i="6"/>
  <c r="K96" i="6" s="1"/>
  <c r="K102" i="6"/>
  <c r="J103" i="6"/>
  <c r="J104" i="6" s="1"/>
  <c r="J106" i="6" s="1"/>
  <c r="J118" i="6" s="1"/>
  <c r="J140" i="6" s="1"/>
  <c r="J142" i="6" s="1"/>
  <c r="S34" i="5" l="1"/>
  <c r="P116" i="4"/>
  <c r="P121" i="4" s="1"/>
  <c r="P122" i="4" s="1"/>
  <c r="U86" i="4"/>
  <c r="T99" i="4"/>
  <c r="U87" i="4"/>
  <c r="T100" i="4"/>
  <c r="T85" i="4"/>
  <c r="S98" i="4"/>
  <c r="S101" i="4" s="1"/>
  <c r="U84" i="4"/>
  <c r="T97" i="4"/>
  <c r="W83" i="4"/>
  <c r="W96" i="4" s="1"/>
  <c r="L33" i="11"/>
  <c r="L35" i="11" s="1"/>
  <c r="L37" i="11" s="1"/>
  <c r="J152" i="4"/>
  <c r="J155" i="4" s="1"/>
  <c r="K63" i="11"/>
  <c r="L60" i="11" s="1"/>
  <c r="P168" i="4"/>
  <c r="L72" i="11"/>
  <c r="M27" i="7"/>
  <c r="M29" i="7" s="1"/>
  <c r="O25" i="7" s="1"/>
  <c r="O27" i="7" s="1"/>
  <c r="O29" i="7" s="1"/>
  <c r="T54" i="7"/>
  <c r="S30" i="5"/>
  <c r="T48" i="7"/>
  <c r="T30" i="5" s="1"/>
  <c r="Q113" i="4" s="1"/>
  <c r="Q118" i="4" s="1"/>
  <c r="T28" i="7"/>
  <c r="S31" i="5"/>
  <c r="U20" i="7"/>
  <c r="T51" i="7"/>
  <c r="T31" i="5"/>
  <c r="Q114" i="4" s="1"/>
  <c r="Q119" i="4" s="1"/>
  <c r="Q181" i="4"/>
  <c r="P177" i="4"/>
  <c r="P31" i="4" s="1"/>
  <c r="Q20" i="8" s="1"/>
  <c r="P14" i="8"/>
  <c r="U13" i="8"/>
  <c r="T163" i="4"/>
  <c r="S54" i="4"/>
  <c r="U59" i="4"/>
  <c r="S55" i="4"/>
  <c r="S56" i="4"/>
  <c r="T29" i="5"/>
  <c r="Q112" i="4" s="1"/>
  <c r="Q117" i="4" s="1"/>
  <c r="V6" i="7"/>
  <c r="V7" i="7" s="1"/>
  <c r="L102" i="6"/>
  <c r="L103" i="6" s="1"/>
  <c r="K103" i="6"/>
  <c r="K104" i="6" s="1"/>
  <c r="K106" i="6" s="1"/>
  <c r="K118" i="6" s="1"/>
  <c r="K140" i="6" s="1"/>
  <c r="K142" i="6" s="1"/>
  <c r="L117" i="6"/>
  <c r="L144" i="6" s="1"/>
  <c r="L86" i="6"/>
  <c r="L96" i="6" s="1"/>
  <c r="P169" i="4" l="1"/>
  <c r="P16" i="4" s="1"/>
  <c r="P126" i="4"/>
  <c r="P124" i="4"/>
  <c r="P26" i="4" s="1"/>
  <c r="V87" i="4"/>
  <c r="U100" i="4"/>
  <c r="V86" i="4"/>
  <c r="U99" i="4"/>
  <c r="V84" i="4"/>
  <c r="U97" i="4"/>
  <c r="U85" i="4"/>
  <c r="T98" i="4"/>
  <c r="T101" i="4" s="1"/>
  <c r="X83" i="4"/>
  <c r="X96" i="4" s="1"/>
  <c r="L62" i="11"/>
  <c r="L74" i="11" s="1"/>
  <c r="M33" i="11"/>
  <c r="K152" i="4"/>
  <c r="K155" i="4" s="1"/>
  <c r="L50" i="11"/>
  <c r="M47" i="11" s="1"/>
  <c r="M49" i="11" s="1"/>
  <c r="L153" i="4"/>
  <c r="T34" i="5"/>
  <c r="Q116" i="4" s="1"/>
  <c r="Q121" i="4" s="1"/>
  <c r="Q122" i="4" s="1"/>
  <c r="U54" i="7"/>
  <c r="U48" i="7"/>
  <c r="U30" i="5" s="1"/>
  <c r="R113" i="4" s="1"/>
  <c r="R118" i="4" s="1"/>
  <c r="U28" i="7"/>
  <c r="P15" i="8"/>
  <c r="Q21" i="8"/>
  <c r="P25" i="7"/>
  <c r="M153" i="4"/>
  <c r="V20" i="7"/>
  <c r="U51" i="7"/>
  <c r="U34" i="5" s="1"/>
  <c r="R116" i="4" s="1"/>
  <c r="R121" i="4" s="1"/>
  <c r="U31" i="5"/>
  <c r="R114" i="4" s="1"/>
  <c r="R119" i="4" s="1"/>
  <c r="Q184" i="4"/>
  <c r="Q174" i="4"/>
  <c r="R46" i="5"/>
  <c r="W47" i="5"/>
  <c r="T19" i="8"/>
  <c r="U160" i="4"/>
  <c r="U162" i="4" s="1"/>
  <c r="T17" i="4"/>
  <c r="T56" i="4"/>
  <c r="T55" i="4"/>
  <c r="V59" i="4"/>
  <c r="T54" i="4"/>
  <c r="U29" i="5"/>
  <c r="R112" i="4" s="1"/>
  <c r="R117" i="4" s="1"/>
  <c r="W6" i="7"/>
  <c r="W7" i="7" s="1"/>
  <c r="L104" i="6"/>
  <c r="L106" i="6" s="1"/>
  <c r="L118" i="6" s="1"/>
  <c r="L140" i="6" s="1"/>
  <c r="L142" i="6" s="1"/>
  <c r="Q126" i="4" l="1"/>
  <c r="Q124" i="4"/>
  <c r="Q26" i="4" s="1"/>
  <c r="R122" i="4"/>
  <c r="W86" i="4"/>
  <c r="V99" i="4"/>
  <c r="W87" i="4"/>
  <c r="V100" i="4"/>
  <c r="V85" i="4"/>
  <c r="U98" i="4"/>
  <c r="U101" i="4" s="1"/>
  <c r="W84" i="4"/>
  <c r="V97" i="4"/>
  <c r="L63" i="11"/>
  <c r="M35" i="11"/>
  <c r="M37" i="11" s="1"/>
  <c r="M72" i="11"/>
  <c r="P27" i="7"/>
  <c r="P29" i="7" s="1"/>
  <c r="Q47" i="7"/>
  <c r="Q55" i="7" s="1"/>
  <c r="O55" i="7" s="1"/>
  <c r="P55" i="7" s="1"/>
  <c r="V54" i="7"/>
  <c r="W20" i="7"/>
  <c r="V51" i="7"/>
  <c r="V34" i="5" s="1"/>
  <c r="S116" i="4" s="1"/>
  <c r="S121" i="4" s="1"/>
  <c r="V31" i="5"/>
  <c r="S114" i="4" s="1"/>
  <c r="S119" i="4" s="1"/>
  <c r="R181" i="4"/>
  <c r="Q177" i="4"/>
  <c r="Q31" i="4" s="1"/>
  <c r="S20" i="8" s="1"/>
  <c r="V8" i="8"/>
  <c r="X47" i="5"/>
  <c r="G18" i="13" s="1"/>
  <c r="Q7" i="8"/>
  <c r="S46" i="5"/>
  <c r="Q166" i="4"/>
  <c r="V13" i="8"/>
  <c r="U163" i="4"/>
  <c r="U54" i="4"/>
  <c r="W59" i="4"/>
  <c r="U55" i="4"/>
  <c r="U56" i="4"/>
  <c r="Y6" i="7"/>
  <c r="Y7" i="7" s="1"/>
  <c r="F17" i="13" l="1"/>
  <c r="R126" i="4"/>
  <c r="R124" i="4"/>
  <c r="R26" i="4" s="1"/>
  <c r="X87" i="4"/>
  <c r="X100" i="4" s="1"/>
  <c r="W100" i="4"/>
  <c r="X86" i="4"/>
  <c r="X99" i="4" s="1"/>
  <c r="W99" i="4"/>
  <c r="X84" i="4"/>
  <c r="X97" i="4" s="1"/>
  <c r="W97" i="4"/>
  <c r="W85" i="4"/>
  <c r="V98" i="4"/>
  <c r="V101" i="4" s="1"/>
  <c r="Q25" i="7"/>
  <c r="Q27" i="7" s="1"/>
  <c r="Q29" i="7" s="1"/>
  <c r="O153" i="4" s="1"/>
  <c r="N153" i="4"/>
  <c r="Q168" i="4"/>
  <c r="N62" i="11"/>
  <c r="M60" i="11"/>
  <c r="M62" i="11" s="1"/>
  <c r="O33" i="11"/>
  <c r="O35" i="11" s="1"/>
  <c r="O37" i="11" s="1"/>
  <c r="P33" i="11" s="1"/>
  <c r="P35" i="11" s="1"/>
  <c r="P37" i="11" s="1"/>
  <c r="L152" i="4"/>
  <c r="L155" i="4" s="1"/>
  <c r="M50" i="11"/>
  <c r="O47" i="11" s="1"/>
  <c r="O49" i="11" s="1"/>
  <c r="Q29" i="5"/>
  <c r="O112" i="4" s="1"/>
  <c r="O117" i="4" s="1"/>
  <c r="O122" i="4" s="1"/>
  <c r="W54" i="7"/>
  <c r="W48" i="7"/>
  <c r="W30" i="5" s="1"/>
  <c r="T113" i="4" s="1"/>
  <c r="T118" i="4" s="1"/>
  <c r="W28" i="7"/>
  <c r="V48" i="7"/>
  <c r="V30" i="5" s="1"/>
  <c r="S113" i="4" s="1"/>
  <c r="S118" i="4" s="1"/>
  <c r="V28" i="7"/>
  <c r="S21" i="8"/>
  <c r="Y20" i="7"/>
  <c r="W51" i="7"/>
  <c r="W31" i="5"/>
  <c r="T114" i="4" s="1"/>
  <c r="T119" i="4" s="1"/>
  <c r="R184" i="4"/>
  <c r="R174" i="4"/>
  <c r="Y47" i="5"/>
  <c r="Q14" i="8"/>
  <c r="U19" i="8"/>
  <c r="V160" i="4"/>
  <c r="V162" i="4" s="1"/>
  <c r="U17" i="4"/>
  <c r="V56" i="4"/>
  <c r="V55" i="4"/>
  <c r="X59" i="4"/>
  <c r="V54" i="4"/>
  <c r="W29" i="5"/>
  <c r="T112" i="4" s="1"/>
  <c r="T117" i="4" s="1"/>
  <c r="Z6" i="7"/>
  <c r="Z7" i="7" s="1"/>
  <c r="Q169" i="4" l="1"/>
  <c r="R25" i="7"/>
  <c r="R27" i="7" s="1"/>
  <c r="R29" i="7" s="1"/>
  <c r="T25" i="7" s="1"/>
  <c r="T27" i="7" s="1"/>
  <c r="T29" i="7" s="1"/>
  <c r="S29" i="5"/>
  <c r="O126" i="4"/>
  <c r="O124" i="4"/>
  <c r="O26" i="4" s="1"/>
  <c r="M152" i="4"/>
  <c r="M155" i="4" s="1"/>
  <c r="X85" i="4"/>
  <c r="X98" i="4" s="1"/>
  <c r="W98" i="4"/>
  <c r="W101" i="4" s="1"/>
  <c r="M74" i="11"/>
  <c r="O72" i="11"/>
  <c r="N152" i="4"/>
  <c r="N155" i="4" s="1"/>
  <c r="Q33" i="11"/>
  <c r="O135" i="4"/>
  <c r="R55" i="7"/>
  <c r="P135" i="4" s="1"/>
  <c r="W34" i="5"/>
  <c r="Y54" i="7"/>
  <c r="X30" i="5"/>
  <c r="Y48" i="7"/>
  <c r="Y30" i="5" s="1"/>
  <c r="U113" i="4" s="1"/>
  <c r="U118" i="4" s="1"/>
  <c r="Y28" i="7"/>
  <c r="Q15" i="8"/>
  <c r="Z20" i="7"/>
  <c r="V26" i="7"/>
  <c r="X31" i="5"/>
  <c r="Y51" i="7"/>
  <c r="Y31" i="5"/>
  <c r="U114" i="4" s="1"/>
  <c r="U119" i="4" s="1"/>
  <c r="S181" i="4"/>
  <c r="R177" i="4"/>
  <c r="R31" i="4" s="1"/>
  <c r="X8" i="8"/>
  <c r="T46" i="5"/>
  <c r="X13" i="8"/>
  <c r="V163" i="4"/>
  <c r="W54" i="4"/>
  <c r="W55" i="4"/>
  <c r="W56" i="4"/>
  <c r="Y29" i="5"/>
  <c r="U112" i="4" s="1"/>
  <c r="U117" i="4" s="1"/>
  <c r="AA6" i="7"/>
  <c r="AA7" i="7" s="1"/>
  <c r="P153" i="4" l="1"/>
  <c r="X34" i="5"/>
  <c r="T116" i="4"/>
  <c r="T121" i="4" s="1"/>
  <c r="X101" i="4"/>
  <c r="M63" i="11"/>
  <c r="O60" i="11" s="1"/>
  <c r="O50" i="11"/>
  <c r="P47" i="11" s="1"/>
  <c r="Q35" i="11"/>
  <c r="Q37" i="11" s="1"/>
  <c r="N135" i="4"/>
  <c r="M135" i="4"/>
  <c r="Y34" i="5"/>
  <c r="U116" i="4" s="1"/>
  <c r="U121" i="4" s="1"/>
  <c r="U122" i="4" s="1"/>
  <c r="Z54" i="7"/>
  <c r="V47" i="7"/>
  <c r="U25" i="7"/>
  <c r="U27" i="7" s="1"/>
  <c r="U29" i="7" s="1"/>
  <c r="Q153" i="4"/>
  <c r="Z48" i="7"/>
  <c r="Z30" i="5" s="1"/>
  <c r="V113" i="4" s="1"/>
  <c r="V118" i="4" s="1"/>
  <c r="Z28" i="7"/>
  <c r="AA20" i="7"/>
  <c r="Z51" i="7"/>
  <c r="Z34" i="5" s="1"/>
  <c r="V116" i="4" s="1"/>
  <c r="V121" i="4" s="1"/>
  <c r="Z31" i="5"/>
  <c r="V114" i="4" s="1"/>
  <c r="V119" i="4" s="1"/>
  <c r="S184" i="4"/>
  <c r="S174" i="4"/>
  <c r="T20" i="8"/>
  <c r="S7" i="8"/>
  <c r="R166" i="4"/>
  <c r="Q16" i="4"/>
  <c r="V19" i="8"/>
  <c r="W160" i="4"/>
  <c r="W162" i="4" s="1"/>
  <c r="V17" i="4"/>
  <c r="X56" i="4"/>
  <c r="X55" i="4"/>
  <c r="X54" i="4"/>
  <c r="Z29" i="5"/>
  <c r="V112" i="4" s="1"/>
  <c r="V117" i="4" s="1"/>
  <c r="AB6" i="7"/>
  <c r="AB7" i="7" s="1"/>
  <c r="P49" i="11" l="1"/>
  <c r="P72" i="11" s="1"/>
  <c r="U126" i="4"/>
  <c r="U124" i="4"/>
  <c r="U26" i="4" s="1"/>
  <c r="V122" i="4"/>
  <c r="T122" i="4"/>
  <c r="R168" i="4"/>
  <c r="O62" i="11"/>
  <c r="O74" i="11" s="1"/>
  <c r="R33" i="11"/>
  <c r="O152" i="4"/>
  <c r="O155" i="4" s="1"/>
  <c r="V29" i="5"/>
  <c r="S112" i="4" s="1"/>
  <c r="S117" i="4" s="1"/>
  <c r="V55" i="7"/>
  <c r="AA54" i="7"/>
  <c r="V25" i="7"/>
  <c r="V27" i="7" s="1"/>
  <c r="V29" i="7" s="1"/>
  <c r="R153" i="4"/>
  <c r="AA48" i="7"/>
  <c r="AA30" i="5" s="1"/>
  <c r="W113" i="4" s="1"/>
  <c r="W118" i="4" s="1"/>
  <c r="AA28" i="7"/>
  <c r="T21" i="8"/>
  <c r="AB20" i="7"/>
  <c r="AA26" i="7"/>
  <c r="AA51" i="7"/>
  <c r="AA34" i="5" s="1"/>
  <c r="W116" i="4" s="1"/>
  <c r="W121" i="4" s="1"/>
  <c r="AA31" i="5"/>
  <c r="W114" i="4" s="1"/>
  <c r="W119" i="4" s="1"/>
  <c r="T181" i="4"/>
  <c r="S177" i="4"/>
  <c r="S31" i="4" s="1"/>
  <c r="S14" i="8"/>
  <c r="Z47" i="5"/>
  <c r="Y13" i="8"/>
  <c r="W163" i="4"/>
  <c r="O12" i="1"/>
  <c r="O13" i="1" s="1"/>
  <c r="O14" i="1" s="1"/>
  <c r="D30" i="1"/>
  <c r="C30" i="1"/>
  <c r="C25" i="1"/>
  <c r="A30" i="1"/>
  <c r="C20" i="1"/>
  <c r="O7" i="1"/>
  <c r="C16" i="1"/>
  <c r="R169" i="4" l="1"/>
  <c r="X29" i="5"/>
  <c r="P50" i="11"/>
  <c r="Q47" i="11" s="1"/>
  <c r="Q49" i="11" s="1"/>
  <c r="Q72" i="11" s="1"/>
  <c r="T126" i="4"/>
  <c r="T124" i="4"/>
  <c r="T26" i="4" s="1"/>
  <c r="S122" i="4"/>
  <c r="V126" i="4"/>
  <c r="V124" i="4"/>
  <c r="V26" i="4" s="1"/>
  <c r="O63" i="11"/>
  <c r="R35" i="11"/>
  <c r="R37" i="11" s="1"/>
  <c r="W55" i="7"/>
  <c r="T135" i="4" s="1"/>
  <c r="S135" i="4"/>
  <c r="T55" i="7"/>
  <c r="AB54" i="7"/>
  <c r="AA47" i="7"/>
  <c r="AA29" i="5" s="1"/>
  <c r="W112" i="4" s="1"/>
  <c r="W117" i="4" s="1"/>
  <c r="W122" i="4" s="1"/>
  <c r="S15" i="8"/>
  <c r="AB48" i="7"/>
  <c r="AB30" i="5" s="1"/>
  <c r="AB28" i="7"/>
  <c r="S153" i="4"/>
  <c r="W25" i="7"/>
  <c r="W27" i="7" s="1"/>
  <c r="W29" i="7" s="1"/>
  <c r="AB51" i="7"/>
  <c r="AB34" i="5" s="1"/>
  <c r="AB31" i="5"/>
  <c r="U20" i="8"/>
  <c r="T184" i="4"/>
  <c r="T174" i="4"/>
  <c r="Y8" i="8"/>
  <c r="U46" i="5"/>
  <c r="X19" i="8"/>
  <c r="X160" i="4"/>
  <c r="X162" i="4" s="1"/>
  <c r="W17" i="4"/>
  <c r="AB29" i="5"/>
  <c r="X112" i="4" s="1"/>
  <c r="X117" i="4" s="1"/>
  <c r="C161" i="4" l="1"/>
  <c r="C117" i="4"/>
  <c r="X113" i="4"/>
  <c r="X118" i="4" s="1"/>
  <c r="C118" i="4" s="1"/>
  <c r="W126" i="4"/>
  <c r="W124" i="4"/>
  <c r="W26" i="4" s="1"/>
  <c r="S126" i="4"/>
  <c r="S124" i="4"/>
  <c r="S26" i="4" s="1"/>
  <c r="C120" i="4"/>
  <c r="X114" i="4"/>
  <c r="X119" i="4" s="1"/>
  <c r="C119" i="4" s="1"/>
  <c r="AC34" i="5"/>
  <c r="X116" i="4"/>
  <c r="X121" i="4" s="1"/>
  <c r="C121" i="4" s="1"/>
  <c r="P60" i="11"/>
  <c r="P62" i="11"/>
  <c r="P74" i="11" s="1"/>
  <c r="T33" i="11"/>
  <c r="T35" i="11" s="1"/>
  <c r="T37" i="11" s="1"/>
  <c r="U33" i="11" s="1"/>
  <c r="U35" i="11" s="1"/>
  <c r="U37" i="11" s="1"/>
  <c r="P152" i="4"/>
  <c r="P155" i="4" s="1"/>
  <c r="U55" i="7"/>
  <c r="R135" i="4" s="1"/>
  <c r="Q135" i="4"/>
  <c r="AA55" i="7"/>
  <c r="Y25" i="7"/>
  <c r="Y27" i="7" s="1"/>
  <c r="Y29" i="7" s="1"/>
  <c r="T153" i="4"/>
  <c r="AC30" i="5"/>
  <c r="Y19" i="8"/>
  <c r="U21" i="8"/>
  <c r="AC31" i="5"/>
  <c r="U181" i="4"/>
  <c r="T177" i="4"/>
  <c r="T31" i="4" s="1"/>
  <c r="AC29" i="5"/>
  <c r="T7" i="8"/>
  <c r="AA47" i="5"/>
  <c r="R16" i="4"/>
  <c r="S166" i="4"/>
  <c r="Q50" i="11"/>
  <c r="R47" i="11" s="1"/>
  <c r="R49" i="11" s="1"/>
  <c r="Z13" i="8"/>
  <c r="Q7" i="1"/>
  <c r="R7" i="1" s="1"/>
  <c r="S7" i="1" s="1"/>
  <c r="X122" i="4" l="1"/>
  <c r="S168" i="4"/>
  <c r="P63" i="11"/>
  <c r="Q60" i="11" s="1"/>
  <c r="Q62" i="11" s="1"/>
  <c r="Q152" i="4"/>
  <c r="Q155" i="4" s="1"/>
  <c r="AB55" i="7"/>
  <c r="X135" i="4" s="1"/>
  <c r="Y55" i="7"/>
  <c r="W135" i="4"/>
  <c r="R152" i="4"/>
  <c r="R155" i="4" s="1"/>
  <c r="V33" i="11"/>
  <c r="V35" i="11" s="1"/>
  <c r="Z25" i="7"/>
  <c r="Z27" i="7" s="1"/>
  <c r="Z29" i="7" s="1"/>
  <c r="U153" i="4"/>
  <c r="V20" i="8"/>
  <c r="U184" i="4"/>
  <c r="U174" i="4"/>
  <c r="Z8" i="8"/>
  <c r="T14" i="8"/>
  <c r="R72" i="11"/>
  <c r="X163" i="4"/>
  <c r="X17" i="4" s="1"/>
  <c r="S169" i="4" l="1"/>
  <c r="X126" i="4"/>
  <c r="X124" i="4"/>
  <c r="X26" i="4" s="1"/>
  <c r="Q74" i="11"/>
  <c r="Z55" i="7"/>
  <c r="V135" i="4" s="1"/>
  <c r="U135" i="4"/>
  <c r="V37" i="11"/>
  <c r="T15" i="8"/>
  <c r="Z19" i="8"/>
  <c r="V21" i="8"/>
  <c r="AA25" i="7"/>
  <c r="AA27" i="7" s="1"/>
  <c r="AA29" i="7" s="1"/>
  <c r="V153" i="4"/>
  <c r="V181" i="4"/>
  <c r="U177" i="4"/>
  <c r="U31" i="4" s="1"/>
  <c r="V46" i="5"/>
  <c r="AB47" i="5"/>
  <c r="R50" i="11"/>
  <c r="T47" i="11" s="1"/>
  <c r="T49" i="11" s="1"/>
  <c r="AA13" i="8"/>
  <c r="Q63" i="11" l="1"/>
  <c r="S152" i="4"/>
  <c r="S155" i="4" s="1"/>
  <c r="W33" i="11"/>
  <c r="W35" i="11" s="1"/>
  <c r="AB25" i="7"/>
  <c r="AB27" i="7" s="1"/>
  <c r="AB29" i="7" s="1"/>
  <c r="X153" i="4" s="1"/>
  <c r="W153" i="4"/>
  <c r="X20" i="8"/>
  <c r="V184" i="4"/>
  <c r="V174" i="4"/>
  <c r="AA8" i="8"/>
  <c r="AC47" i="5"/>
  <c r="H18" i="13" s="1"/>
  <c r="U7" i="8"/>
  <c r="T166" i="4"/>
  <c r="S16" i="4"/>
  <c r="T72" i="11"/>
  <c r="T168" i="4" l="1"/>
  <c r="S62" i="11"/>
  <c r="R60" i="11"/>
  <c r="W37" i="11"/>
  <c r="AA19" i="8"/>
  <c r="X21" i="8"/>
  <c r="W181" i="4"/>
  <c r="V177" i="4"/>
  <c r="V31" i="4" s="1"/>
  <c r="U14" i="8"/>
  <c r="T50" i="11"/>
  <c r="U47" i="11" s="1"/>
  <c r="U49" i="11" s="1"/>
  <c r="T169" i="4" l="1"/>
  <c r="R62" i="11"/>
  <c r="R74" i="11" s="1"/>
  <c r="Y33" i="11"/>
  <c r="Y35" i="11" s="1"/>
  <c r="T152" i="4"/>
  <c r="T155" i="4" s="1"/>
  <c r="U15" i="8"/>
  <c r="Y20" i="8"/>
  <c r="W174" i="4"/>
  <c r="W184" i="4"/>
  <c r="W46" i="5"/>
  <c r="U72" i="11"/>
  <c r="R63" i="11" l="1"/>
  <c r="T60" i="11" s="1"/>
  <c r="Y37" i="11"/>
  <c r="Y21" i="8"/>
  <c r="X181" i="4"/>
  <c r="W177" i="4"/>
  <c r="W31" i="4" s="1"/>
  <c r="V7" i="8"/>
  <c r="X46" i="5"/>
  <c r="U166" i="4"/>
  <c r="T16" i="4"/>
  <c r="U50" i="11"/>
  <c r="V47" i="11" s="1"/>
  <c r="D20" i="1"/>
  <c r="O8" i="1"/>
  <c r="O9" i="1" s="1"/>
  <c r="C8" i="1" s="1"/>
  <c r="C10" i="1" s="1"/>
  <c r="A20" i="1"/>
  <c r="G17" i="13" l="1"/>
  <c r="V49" i="11"/>
  <c r="V72" i="11" s="1"/>
  <c r="U168" i="4"/>
  <c r="T62" i="11"/>
  <c r="T74" i="11" s="1"/>
  <c r="Z33" i="11"/>
  <c r="Z35" i="11" s="1"/>
  <c r="U152" i="4"/>
  <c r="U155" i="4" s="1"/>
  <c r="Z20" i="8"/>
  <c r="X184" i="4"/>
  <c r="X177" i="4" s="1"/>
  <c r="X31" i="4" s="1"/>
  <c r="X174" i="4"/>
  <c r="V14" i="8"/>
  <c r="G26" i="5"/>
  <c r="G95" i="4" s="1"/>
  <c r="G100" i="4" s="1"/>
  <c r="G23" i="5"/>
  <c r="G93" i="4" s="1"/>
  <c r="G98" i="4" s="1"/>
  <c r="G24" i="5"/>
  <c r="G94" i="4" s="1"/>
  <c r="G99" i="4" s="1"/>
  <c r="G22" i="5"/>
  <c r="U169" i="4" l="1"/>
  <c r="G92" i="4"/>
  <c r="G97" i="4" s="1"/>
  <c r="G101" i="4" s="1"/>
  <c r="Y46" i="5"/>
  <c r="T63" i="11"/>
  <c r="U60" i="11" s="1"/>
  <c r="Z37" i="11"/>
  <c r="V15" i="8"/>
  <c r="Z21" i="8"/>
  <c r="AA20" i="8"/>
  <c r="AA21" i="8" s="1"/>
  <c r="V166" i="4"/>
  <c r="U16" i="4"/>
  <c r="V50" i="11"/>
  <c r="W47" i="11" s="1"/>
  <c r="W49" i="11" s="1"/>
  <c r="G9" i="5"/>
  <c r="X7" i="8" l="1"/>
  <c r="G124" i="4"/>
  <c r="G26" i="4" s="1"/>
  <c r="G126" i="4"/>
  <c r="V168" i="4"/>
  <c r="U62" i="11"/>
  <c r="U74" i="11" s="1"/>
  <c r="V152" i="4"/>
  <c r="V155" i="4" s="1"/>
  <c r="AA33" i="11"/>
  <c r="AA35" i="11" s="1"/>
  <c r="G77" i="4"/>
  <c r="G67" i="4" s="1"/>
  <c r="X14" i="8"/>
  <c r="W72" i="11"/>
  <c r="G8" i="5"/>
  <c r="G133" i="4"/>
  <c r="G145" i="4" s="1"/>
  <c r="G143" i="4"/>
  <c r="V169" i="4" l="1"/>
  <c r="Z46" i="5"/>
  <c r="U63" i="11"/>
  <c r="V60" i="11" s="1"/>
  <c r="AA37" i="11"/>
  <c r="X15" i="8"/>
  <c r="G76" i="4"/>
  <c r="G66" i="4" s="1"/>
  <c r="W166" i="4"/>
  <c r="V16" i="4"/>
  <c r="W50" i="11"/>
  <c r="Y47" i="11" s="1"/>
  <c r="Y49" i="11" s="1"/>
  <c r="Y7" i="8" l="1"/>
  <c r="W168" i="4"/>
  <c r="V62" i="11"/>
  <c r="V74" i="11" s="1"/>
  <c r="W152" i="4"/>
  <c r="W155" i="4" s="1"/>
  <c r="AB33" i="11"/>
  <c r="AB35" i="11" s="1"/>
  <c r="Y14" i="8"/>
  <c r="Y72" i="11"/>
  <c r="G10" i="5"/>
  <c r="H24" i="5"/>
  <c r="H94" i="4" s="1"/>
  <c r="H99" i="4" s="1"/>
  <c r="H23" i="5"/>
  <c r="H26" i="5"/>
  <c r="H95" i="4" s="1"/>
  <c r="H100" i="4" s="1"/>
  <c r="H22" i="5"/>
  <c r="H21" i="5"/>
  <c r="H91" i="4" s="1"/>
  <c r="H96" i="4" s="1"/>
  <c r="W169" i="4" l="1"/>
  <c r="H92" i="4"/>
  <c r="H97" i="4" s="1"/>
  <c r="C97" i="4" s="1"/>
  <c r="I22" i="5"/>
  <c r="I23" i="5"/>
  <c r="H93" i="4"/>
  <c r="H98" i="4" s="1"/>
  <c r="AA46" i="5"/>
  <c r="V63" i="11"/>
  <c r="AB37" i="11"/>
  <c r="X152" i="4" s="1"/>
  <c r="X155" i="4" s="1"/>
  <c r="Y15" i="8"/>
  <c r="I21" i="5"/>
  <c r="I24" i="5"/>
  <c r="C99" i="4" s="1"/>
  <c r="G78" i="4"/>
  <c r="G68" i="4" s="1"/>
  <c r="I26" i="5"/>
  <c r="C100" i="4" s="1"/>
  <c r="X166" i="4"/>
  <c r="W16" i="4"/>
  <c r="Y50" i="11"/>
  <c r="Z47" i="11" s="1"/>
  <c r="Z49" i="11" s="1"/>
  <c r="G132" i="4"/>
  <c r="G144" i="4" s="1"/>
  <c r="Z7" i="8" l="1"/>
  <c r="C98" i="4"/>
  <c r="H101" i="4"/>
  <c r="X168" i="4"/>
  <c r="X62" i="11"/>
  <c r="W60" i="11"/>
  <c r="Z14" i="8"/>
  <c r="E71" i="11"/>
  <c r="Z72" i="11"/>
  <c r="H8" i="5"/>
  <c r="H9" i="5"/>
  <c r="E7" i="5" l="1"/>
  <c r="E60" i="5" s="1"/>
  <c r="C167" i="4"/>
  <c r="H124" i="4"/>
  <c r="H26" i="4" s="1"/>
  <c r="H126" i="4"/>
  <c r="X169" i="4"/>
  <c r="X16" i="4" s="1"/>
  <c r="AA14" i="8" s="1"/>
  <c r="AA15" i="8" s="1"/>
  <c r="AB46" i="5"/>
  <c r="W62" i="11"/>
  <c r="W74" i="11" s="1"/>
  <c r="Z15" i="8"/>
  <c r="H77" i="4"/>
  <c r="H67" i="4" s="1"/>
  <c r="I9" i="5"/>
  <c r="H76" i="4"/>
  <c r="H66" i="4" s="1"/>
  <c r="I8" i="5"/>
  <c r="E75" i="4"/>
  <c r="Z50" i="11"/>
  <c r="AA47" i="11" s="1"/>
  <c r="AA49" i="11" s="1"/>
  <c r="J9" i="5"/>
  <c r="H133" i="4"/>
  <c r="H145" i="4" s="1"/>
  <c r="J8" i="5"/>
  <c r="H131" i="4"/>
  <c r="H143" i="4" s="1"/>
  <c r="H132" i="4"/>
  <c r="H144" i="4" s="1"/>
  <c r="AC46" i="5" l="1"/>
  <c r="AA7" i="8"/>
  <c r="W63" i="11"/>
  <c r="Y60" i="11" s="1"/>
  <c r="F41" i="11"/>
  <c r="F43" i="11" s="1"/>
  <c r="I76" i="4"/>
  <c r="I66" i="4" s="1"/>
  <c r="I77" i="4"/>
  <c r="I67" i="4" s="1"/>
  <c r="E65" i="4"/>
  <c r="AA72" i="11"/>
  <c r="K9" i="5"/>
  <c r="J77" i="4" s="1"/>
  <c r="J67" i="4" s="1"/>
  <c r="E130" i="4"/>
  <c r="E142" i="4" s="1"/>
  <c r="E25" i="5" s="1"/>
  <c r="E27" i="5" s="1"/>
  <c r="I131" i="4"/>
  <c r="I143" i="4" s="1"/>
  <c r="H10" i="5"/>
  <c r="H17" i="13" l="1"/>
  <c r="Y62" i="11"/>
  <c r="Y74" i="11" s="1"/>
  <c r="F44" i="11"/>
  <c r="G41" i="11" s="1"/>
  <c r="G43" i="11" s="1"/>
  <c r="F71" i="11"/>
  <c r="H78" i="4"/>
  <c r="H68" i="4" s="1"/>
  <c r="I10" i="5"/>
  <c r="AA50" i="11"/>
  <c r="AB47" i="11" s="1"/>
  <c r="AB49" i="11" s="1"/>
  <c r="I133" i="4"/>
  <c r="I145" i="4" s="1"/>
  <c r="K8" i="5"/>
  <c r="I132" i="4"/>
  <c r="I144" i="4" s="1"/>
  <c r="F7" i="5" l="1"/>
  <c r="G71" i="11"/>
  <c r="G7" i="5" s="1"/>
  <c r="G75" i="4" s="1"/>
  <c r="G65" i="4" s="1"/>
  <c r="F60" i="5"/>
  <c r="F75" i="4"/>
  <c r="F65" i="4" s="1"/>
  <c r="Y63" i="11"/>
  <c r="Z60" i="11" s="1"/>
  <c r="E56" i="5"/>
  <c r="E61" i="5" a="1"/>
  <c r="G150" i="4"/>
  <c r="F150" i="4"/>
  <c r="J76" i="4"/>
  <c r="J66" i="4" s="1"/>
  <c r="J133" i="4"/>
  <c r="J145" i="4" s="1"/>
  <c r="J131" i="4"/>
  <c r="J143" i="4" s="1"/>
  <c r="L9" i="5"/>
  <c r="J10" i="5"/>
  <c r="F130" i="4"/>
  <c r="L8" i="5"/>
  <c r="K76" i="4" s="1"/>
  <c r="K66" i="4" s="1"/>
  <c r="Z62" i="11" l="1"/>
  <c r="Z74" i="11" s="1"/>
  <c r="AB72" i="11"/>
  <c r="G44" i="11"/>
  <c r="H41" i="11" s="1"/>
  <c r="H43" i="11" s="1"/>
  <c r="F142" i="4"/>
  <c r="E61" i="5"/>
  <c r="E68" i="5" s="1"/>
  <c r="K77" i="4"/>
  <c r="K67" i="4" s="1"/>
  <c r="I78" i="4"/>
  <c r="I68" i="4" s="1"/>
  <c r="AB50" i="11"/>
  <c r="K133" i="4"/>
  <c r="K145" i="4" s="1"/>
  <c r="G60" i="5"/>
  <c r="M8" i="5"/>
  <c r="L76" i="4" s="1"/>
  <c r="L66" i="4" s="1"/>
  <c r="K131" i="4"/>
  <c r="K143" i="4" s="1"/>
  <c r="J132" i="4"/>
  <c r="J144" i="4" s="1"/>
  <c r="F25" i="5" l="1"/>
  <c r="F27" i="5" s="1"/>
  <c r="Z63" i="11"/>
  <c r="AA60" i="11" s="1"/>
  <c r="H71" i="11"/>
  <c r="N8" i="5"/>
  <c r="G130" i="4"/>
  <c r="G142" i="4" s="1"/>
  <c r="K10" i="5"/>
  <c r="O8" i="5"/>
  <c r="L131" i="4"/>
  <c r="L143" i="4" s="1"/>
  <c r="M9" i="5"/>
  <c r="G25" i="5" l="1"/>
  <c r="G27" i="5" s="1"/>
  <c r="F61" i="5" a="1"/>
  <c r="F61" i="5" s="1"/>
  <c r="F68" i="5" s="1"/>
  <c r="F56" i="5"/>
  <c r="AA62" i="11"/>
  <c r="AA63" i="11" s="1"/>
  <c r="AB60" i="11" s="1"/>
  <c r="H44" i="11"/>
  <c r="M76" i="4"/>
  <c r="M66" i="4" s="1"/>
  <c r="L77" i="4"/>
  <c r="L67" i="4" s="1"/>
  <c r="N9" i="5"/>
  <c r="J78" i="4"/>
  <c r="J68" i="4" s="1"/>
  <c r="M131" i="4"/>
  <c r="M143" i="4" s="1"/>
  <c r="H7" i="5"/>
  <c r="H60" i="5" s="1"/>
  <c r="P8" i="5"/>
  <c r="N76" i="4" s="1"/>
  <c r="N66" i="4" s="1"/>
  <c r="O9" i="5"/>
  <c r="L133" i="4"/>
  <c r="L145" i="4" s="1"/>
  <c r="K132" i="4"/>
  <c r="K144" i="4" s="1"/>
  <c r="J41" i="11" l="1"/>
  <c r="J43" i="11" s="1"/>
  <c r="H130" i="4"/>
  <c r="AB62" i="11"/>
  <c r="AB74" i="11" s="1"/>
  <c r="AA74" i="11"/>
  <c r="J44" i="11"/>
  <c r="K41" i="11" s="1"/>
  <c r="G56" i="5"/>
  <c r="G61" i="5" a="1"/>
  <c r="M77" i="4"/>
  <c r="M67" i="4" s="1"/>
  <c r="H75" i="4"/>
  <c r="H65" i="4" s="1"/>
  <c r="I7" i="5"/>
  <c r="I60" i="5" s="1"/>
  <c r="I95" i="5" s="1"/>
  <c r="P9" i="5"/>
  <c r="N77" i="4" s="1"/>
  <c r="N67" i="4" s="1"/>
  <c r="N131" i="4"/>
  <c r="N143" i="4" s="1"/>
  <c r="L10" i="5"/>
  <c r="I101" i="5" l="1"/>
  <c r="I109" i="5" s="1"/>
  <c r="K43" i="11"/>
  <c r="K71" i="11" s="1"/>
  <c r="D62" i="11"/>
  <c r="AB63" i="11"/>
  <c r="J71" i="11"/>
  <c r="J7" i="5" s="1"/>
  <c r="J60" i="5" s="1"/>
  <c r="G61" i="5"/>
  <c r="G68" i="5" s="1"/>
  <c r="K78" i="4"/>
  <c r="K68" i="4" s="1"/>
  <c r="Q8" i="5"/>
  <c r="M133" i="4"/>
  <c r="M145" i="4" s="1"/>
  <c r="R8" i="5"/>
  <c r="P76" i="4" s="1"/>
  <c r="P66" i="4" s="1"/>
  <c r="Q9" i="5"/>
  <c r="O77" i="4" s="1"/>
  <c r="O67" i="4" s="1"/>
  <c r="L132" i="4"/>
  <c r="L144" i="4" s="1"/>
  <c r="K44" i="11" l="1"/>
  <c r="L41" i="11" s="1"/>
  <c r="L43" i="11" s="1"/>
  <c r="L71" i="11" s="1"/>
  <c r="H142" i="4"/>
  <c r="O76" i="4"/>
  <c r="O66" i="4" s="1"/>
  <c r="S8" i="5"/>
  <c r="I75" i="4"/>
  <c r="I65" i="4" s="1"/>
  <c r="N133" i="4"/>
  <c r="N145" i="4" s="1"/>
  <c r="O131" i="4"/>
  <c r="O143" i="4" s="1"/>
  <c r="M10" i="5"/>
  <c r="H25" i="5" l="1"/>
  <c r="H27" i="5" s="1"/>
  <c r="H61" i="5" a="1"/>
  <c r="L44" i="11"/>
  <c r="M41" i="11" s="1"/>
  <c r="M43" i="11" s="1"/>
  <c r="S21" i="5"/>
  <c r="L78" i="4"/>
  <c r="L68" i="4" s="1"/>
  <c r="N10" i="5"/>
  <c r="P131" i="4"/>
  <c r="P143" i="4" s="1"/>
  <c r="T8" i="5"/>
  <c r="I130" i="4"/>
  <c r="I142" i="4" s="1"/>
  <c r="O133" i="4"/>
  <c r="O145" i="4" s="1"/>
  <c r="M132" i="4"/>
  <c r="M144" i="4" s="1"/>
  <c r="H56" i="5" l="1"/>
  <c r="I25" i="5"/>
  <c r="I27" i="5" s="1"/>
  <c r="C96" i="4"/>
  <c r="M71" i="11"/>
  <c r="H61" i="5"/>
  <c r="H68" i="5" s="1"/>
  <c r="D8" i="13"/>
  <c r="I61" i="5" a="1"/>
  <c r="I61" i="5" s="1"/>
  <c r="I68" i="5" s="1"/>
  <c r="J25" i="5"/>
  <c r="J27" i="5" s="1"/>
  <c r="Q76" i="4"/>
  <c r="Q66" i="4" s="1"/>
  <c r="O10" i="5"/>
  <c r="K7" i="5"/>
  <c r="K60" i="5" s="1"/>
  <c r="R9" i="5"/>
  <c r="I56" i="5" l="1"/>
  <c r="I103" i="5" s="1"/>
  <c r="M44" i="11"/>
  <c r="O41" i="11" s="1"/>
  <c r="O43" i="11" s="1"/>
  <c r="J61" i="5" a="1"/>
  <c r="J56" i="5"/>
  <c r="P77" i="4"/>
  <c r="P67" i="4" s="1"/>
  <c r="S9" i="5"/>
  <c r="M78" i="4"/>
  <c r="M68" i="4" s="1"/>
  <c r="J75" i="4"/>
  <c r="J65" i="4" s="1"/>
  <c r="Q131" i="4"/>
  <c r="Q143" i="4" s="1"/>
  <c r="N132" i="4"/>
  <c r="N144" i="4" s="1"/>
  <c r="I102" i="5" l="1"/>
  <c r="N109" i="5" s="1"/>
  <c r="O71" i="11"/>
  <c r="J61" i="5"/>
  <c r="J68" i="5" s="1"/>
  <c r="P133" i="4"/>
  <c r="P145" i="4" s="1"/>
  <c r="J130" i="4"/>
  <c r="J142" i="4" s="1"/>
  <c r="U8" i="5"/>
  <c r="L7" i="5"/>
  <c r="L60" i="5" s="1"/>
  <c r="T9" i="5"/>
  <c r="P10" i="5"/>
  <c r="O44" i="11" l="1"/>
  <c r="P41" i="11" s="1"/>
  <c r="K25" i="5"/>
  <c r="K27" i="5" s="1"/>
  <c r="Q77" i="4"/>
  <c r="Q67" i="4" s="1"/>
  <c r="R76" i="4"/>
  <c r="R66" i="4" s="1"/>
  <c r="N78" i="4"/>
  <c r="N68" i="4" s="1"/>
  <c r="K75" i="4"/>
  <c r="K65" i="4" s="1"/>
  <c r="R131" i="4"/>
  <c r="R143" i="4" s="1"/>
  <c r="Q133" i="4"/>
  <c r="Q145" i="4" s="1"/>
  <c r="O132" i="4"/>
  <c r="O144" i="4" s="1"/>
  <c r="P43" i="11" l="1"/>
  <c r="P71" i="11" s="1"/>
  <c r="K61" i="5" a="1"/>
  <c r="K56" i="5"/>
  <c r="Q10" i="5"/>
  <c r="K130" i="4"/>
  <c r="K142" i="4" s="1"/>
  <c r="U9" i="5"/>
  <c r="M7" i="5"/>
  <c r="M60" i="5" s="1"/>
  <c r="P44" i="11" l="1"/>
  <c r="Q41" i="11" s="1"/>
  <c r="Q43" i="11" s="1"/>
  <c r="Q71" i="11" s="1"/>
  <c r="K61" i="5"/>
  <c r="K68" i="5" s="1"/>
  <c r="L25" i="5"/>
  <c r="R77" i="4"/>
  <c r="R67" i="4" s="1"/>
  <c r="O78" i="4"/>
  <c r="O68" i="4" s="1"/>
  <c r="L75" i="4"/>
  <c r="L65" i="4" s="1"/>
  <c r="N7" i="5"/>
  <c r="N60" i="5" s="1"/>
  <c r="N95" i="5" s="1"/>
  <c r="V8" i="5"/>
  <c r="L130" i="4"/>
  <c r="L142" i="4" s="1"/>
  <c r="P132" i="4"/>
  <c r="P144" i="4" s="1"/>
  <c r="N101" i="5" l="1"/>
  <c r="I110" i="5" s="1"/>
  <c r="Q44" i="11"/>
  <c r="R41" i="11" s="1"/>
  <c r="L61" i="5" a="1"/>
  <c r="L61" i="5" s="1"/>
  <c r="L68" i="5" s="1"/>
  <c r="L27" i="5"/>
  <c r="L56" i="5"/>
  <c r="M25" i="5"/>
  <c r="M27" i="5" s="1"/>
  <c r="S76" i="4"/>
  <c r="S66" i="4" s="1"/>
  <c r="R133" i="4"/>
  <c r="R145" i="4" s="1"/>
  <c r="O7" i="5"/>
  <c r="O60" i="5" s="1"/>
  <c r="O95" i="5" s="1"/>
  <c r="R10" i="5"/>
  <c r="V9" i="5"/>
  <c r="O101" i="5" l="1"/>
  <c r="R43" i="11"/>
  <c r="R44" i="11" s="1"/>
  <c r="T41" i="11" s="1"/>
  <c r="M61" i="5" a="1"/>
  <c r="N25" i="5"/>
  <c r="M56" i="5"/>
  <c r="S77" i="4"/>
  <c r="S67" i="4" s="1"/>
  <c r="M75" i="4"/>
  <c r="M65" i="4" s="1"/>
  <c r="P78" i="4"/>
  <c r="P68" i="4" s="1"/>
  <c r="S10" i="5"/>
  <c r="W8" i="5"/>
  <c r="S131" i="4"/>
  <c r="S143" i="4" s="1"/>
  <c r="Q132" i="4"/>
  <c r="Q144" i="4" s="1"/>
  <c r="T43" i="11" l="1"/>
  <c r="T71" i="11" s="1"/>
  <c r="R71" i="11"/>
  <c r="E8" i="13"/>
  <c r="N27" i="5"/>
  <c r="M61" i="5"/>
  <c r="M68" i="5" s="1"/>
  <c r="N56" i="5"/>
  <c r="N103" i="5" s="1"/>
  <c r="N61" i="5" a="1"/>
  <c r="T76" i="4"/>
  <c r="T66" i="4" s="1"/>
  <c r="X8" i="5"/>
  <c r="M130" i="4"/>
  <c r="M142" i="4" s="1"/>
  <c r="S133" i="4"/>
  <c r="S145" i="4" s="1"/>
  <c r="T131" i="4"/>
  <c r="T143" i="4" s="1"/>
  <c r="T10" i="5"/>
  <c r="P7" i="5"/>
  <c r="P60" i="5" s="1"/>
  <c r="P95" i="5" s="1"/>
  <c r="W9" i="5"/>
  <c r="N102" i="5" l="1"/>
  <c r="N110" i="5" s="1"/>
  <c r="P101" i="5"/>
  <c r="T44" i="11"/>
  <c r="U41" i="11" s="1"/>
  <c r="U43" i="11" s="1"/>
  <c r="U71" i="11" s="1"/>
  <c r="N61" i="5"/>
  <c r="N68" i="5" s="1"/>
  <c r="O25" i="5"/>
  <c r="O27" i="5" s="1"/>
  <c r="Q78" i="4"/>
  <c r="Q68" i="4" s="1"/>
  <c r="T77" i="4"/>
  <c r="T67" i="4" s="1"/>
  <c r="X9" i="5"/>
  <c r="N75" i="4"/>
  <c r="N65" i="4" s="1"/>
  <c r="Y8" i="5"/>
  <c r="R132" i="4"/>
  <c r="R144" i="4" s="1"/>
  <c r="O56" i="5" l="1"/>
  <c r="O103" i="5" s="1"/>
  <c r="O61" i="5" a="1"/>
  <c r="U44" i="11"/>
  <c r="V41" i="11" s="1"/>
  <c r="V43" i="11" s="1"/>
  <c r="U76" i="4"/>
  <c r="U66" i="4" s="1"/>
  <c r="N130" i="4"/>
  <c r="N142" i="4" s="1"/>
  <c r="U10" i="5"/>
  <c r="U131" i="4"/>
  <c r="U143" i="4" s="1"/>
  <c r="Q7" i="5"/>
  <c r="Q60" i="5" s="1"/>
  <c r="Q95" i="5" s="1"/>
  <c r="T133" i="4"/>
  <c r="T145" i="4" s="1"/>
  <c r="Q101" i="5" l="1"/>
  <c r="O102" i="5"/>
  <c r="V71" i="11"/>
  <c r="O61" i="5"/>
  <c r="O68" i="5" s="1"/>
  <c r="P25" i="5"/>
  <c r="P27" i="5" s="1"/>
  <c r="R78" i="4"/>
  <c r="R68" i="4" s="1"/>
  <c r="O75" i="4"/>
  <c r="O65" i="4" s="1"/>
  <c r="Z8" i="5"/>
  <c r="Y9" i="5"/>
  <c r="S132" i="4"/>
  <c r="S144" i="4" s="1"/>
  <c r="V44" i="11" l="1"/>
  <c r="W41" i="11" s="1"/>
  <c r="W43" i="11" s="1"/>
  <c r="P56" i="5"/>
  <c r="P103" i="5" s="1"/>
  <c r="P61" i="5" a="1"/>
  <c r="U77" i="4"/>
  <c r="U67" i="4" s="1"/>
  <c r="V76" i="4"/>
  <c r="V66" i="4" s="1"/>
  <c r="V10" i="5"/>
  <c r="O130" i="4"/>
  <c r="O142" i="4" s="1"/>
  <c r="P102" i="5" l="1"/>
  <c r="W44" i="11"/>
  <c r="Y41" i="11" s="1"/>
  <c r="Y43" i="11" s="1"/>
  <c r="P61" i="5"/>
  <c r="P68" i="5" s="1"/>
  <c r="Q25" i="5"/>
  <c r="Q27" i="5" s="1"/>
  <c r="S78" i="4"/>
  <c r="S68" i="4" s="1"/>
  <c r="V131" i="4"/>
  <c r="V143" i="4" s="1"/>
  <c r="AA8" i="5"/>
  <c r="R7" i="5"/>
  <c r="R60" i="5" s="1"/>
  <c r="R95" i="5" s="1"/>
  <c r="R101" i="5" s="1"/>
  <c r="U133" i="4"/>
  <c r="U145" i="4" s="1"/>
  <c r="T132" i="4"/>
  <c r="T144" i="4" s="1"/>
  <c r="Y71" i="11" l="1"/>
  <c r="W71" i="11"/>
  <c r="Q56" i="5"/>
  <c r="Q103" i="5" s="1"/>
  <c r="Q61" i="5" a="1"/>
  <c r="W76" i="4"/>
  <c r="W66" i="4" s="1"/>
  <c r="P75" i="4"/>
  <c r="P65" i="4" s="1"/>
  <c r="S7" i="5"/>
  <c r="S60" i="5" s="1"/>
  <c r="S95" i="5" s="1"/>
  <c r="S101" i="5" s="1"/>
  <c r="I111" i="5" s="1"/>
  <c r="W131" i="4"/>
  <c r="W143" i="4" s="1"/>
  <c r="P130" i="4"/>
  <c r="P142" i="4" s="1"/>
  <c r="W10" i="5"/>
  <c r="Z9" i="5"/>
  <c r="Q102" i="5" l="1"/>
  <c r="Y44" i="11"/>
  <c r="Z41" i="11" s="1"/>
  <c r="Q61" i="5"/>
  <c r="Q68" i="5" s="1"/>
  <c r="R25" i="5"/>
  <c r="V77" i="4"/>
  <c r="V67" i="4" s="1"/>
  <c r="T78" i="4"/>
  <c r="T68" i="4" s="1"/>
  <c r="X10" i="5"/>
  <c r="AB8" i="5"/>
  <c r="X76" i="4" s="1"/>
  <c r="T7" i="5"/>
  <c r="T60" i="5" s="1"/>
  <c r="T95" i="5" s="1"/>
  <c r="T101" i="5" s="1"/>
  <c r="U132" i="4"/>
  <c r="U144" i="4" s="1"/>
  <c r="Z43" i="11" l="1"/>
  <c r="Z71" i="11" s="1"/>
  <c r="R61" i="5" a="1"/>
  <c r="R61" i="5" s="1"/>
  <c r="R68" i="5" s="1"/>
  <c r="R27" i="5"/>
  <c r="R56" i="5"/>
  <c r="R103" i="5" s="1"/>
  <c r="S25" i="5"/>
  <c r="S27" i="5" s="1"/>
  <c r="X66" i="4"/>
  <c r="AC8" i="5"/>
  <c r="Q75" i="4"/>
  <c r="Q65" i="4" s="1"/>
  <c r="X131" i="4"/>
  <c r="X143" i="4" s="1"/>
  <c r="V133" i="4"/>
  <c r="V145" i="4" s="1"/>
  <c r="Y10" i="5"/>
  <c r="Q130" i="4"/>
  <c r="Q142" i="4" s="1"/>
  <c r="AA9" i="5"/>
  <c r="R102" i="5" l="1"/>
  <c r="Z44" i="11"/>
  <c r="AA41" i="11" s="1"/>
  <c r="AA43" i="11" s="1"/>
  <c r="AA71" i="11" s="1"/>
  <c r="S61" i="5" a="1"/>
  <c r="F8" i="13"/>
  <c r="S56" i="5"/>
  <c r="S103" i="5" s="1"/>
  <c r="T25" i="5"/>
  <c r="T27" i="5" s="1"/>
  <c r="W77" i="4"/>
  <c r="W67" i="4" s="1"/>
  <c r="U78" i="4"/>
  <c r="U68" i="4" s="1"/>
  <c r="W133" i="4"/>
  <c r="W145" i="4" s="1"/>
  <c r="U7" i="5"/>
  <c r="U60" i="5" s="1"/>
  <c r="U95" i="5" s="1"/>
  <c r="U101" i="5" s="1"/>
  <c r="V132" i="4"/>
  <c r="V144" i="4" s="1"/>
  <c r="S102" i="5" l="1"/>
  <c r="N111" i="5" s="1"/>
  <c r="AA44" i="11"/>
  <c r="AB41" i="11" s="1"/>
  <c r="AB43" i="11" s="1"/>
  <c r="S61" i="5"/>
  <c r="S68" i="5" s="1"/>
  <c r="T56" i="5"/>
  <c r="T103" i="5" s="1"/>
  <c r="T61" i="5" a="1"/>
  <c r="R75" i="4"/>
  <c r="R65" i="4" s="1"/>
  <c r="Z10" i="5"/>
  <c r="AB9" i="5"/>
  <c r="X77" i="4" s="1"/>
  <c r="T102" i="5" l="1"/>
  <c r="AB44" i="11"/>
  <c r="T61" i="5"/>
  <c r="T68" i="5" s="1"/>
  <c r="X67" i="4"/>
  <c r="AC9" i="5"/>
  <c r="V78" i="4"/>
  <c r="V68" i="4" s="1"/>
  <c r="X133" i="4"/>
  <c r="X145" i="4" s="1"/>
  <c r="R130" i="4"/>
  <c r="R142" i="4" s="1"/>
  <c r="V7" i="5"/>
  <c r="V60" i="5" s="1"/>
  <c r="V95" i="5" s="1"/>
  <c r="W132" i="4"/>
  <c r="W144" i="4" s="1"/>
  <c r="V101" i="5" l="1"/>
  <c r="AB71" i="11"/>
  <c r="U25" i="5"/>
  <c r="U27" i="5" s="1"/>
  <c r="S75" i="4"/>
  <c r="S65" i="4" s="1"/>
  <c r="AA10" i="5"/>
  <c r="U56" i="5" l="1"/>
  <c r="U103" i="5" s="1"/>
  <c r="U61" i="5" a="1"/>
  <c r="W78" i="4"/>
  <c r="W68" i="4" s="1"/>
  <c r="S130" i="4"/>
  <c r="S142" i="4" s="1"/>
  <c r="W7" i="5"/>
  <c r="W60" i="5" s="1"/>
  <c r="W95" i="5" s="1"/>
  <c r="X132" i="4"/>
  <c r="X144" i="4" s="1"/>
  <c r="AB10" i="5"/>
  <c r="X78" i="4" s="1"/>
  <c r="X68" i="4" s="1"/>
  <c r="W101" i="5" l="1"/>
  <c r="U102" i="5"/>
  <c r="U61" i="5"/>
  <c r="U68" i="5" s="1"/>
  <c r="V25" i="5"/>
  <c r="V27" i="5" s="1"/>
  <c r="AC10" i="5"/>
  <c r="T75" i="4"/>
  <c r="T65" i="4" s="1"/>
  <c r="X7" i="5"/>
  <c r="X60" i="5" s="1"/>
  <c r="X95" i="5" s="1"/>
  <c r="X101" i="5" l="1"/>
  <c r="I112" i="5" s="1"/>
  <c r="V56" i="5"/>
  <c r="V103" i="5" s="1"/>
  <c r="V61" i="5" a="1"/>
  <c r="T130" i="4"/>
  <c r="T142" i="4" s="1"/>
  <c r="V102" i="5" l="1"/>
  <c r="V61" i="5"/>
  <c r="V68" i="5" s="1"/>
  <c r="W25" i="5"/>
  <c r="Y7" i="5"/>
  <c r="Y60" i="5" s="1"/>
  <c r="Y95" i="5" s="1"/>
  <c r="Y101" i="5" l="1"/>
  <c r="W61" i="5" a="1"/>
  <c r="W61" i="5" s="1"/>
  <c r="W68" i="5" s="1"/>
  <c r="W27" i="5"/>
  <c r="W56" i="5"/>
  <c r="W103" i="5" s="1"/>
  <c r="X25" i="5"/>
  <c r="X27" i="5" s="1"/>
  <c r="U75" i="4"/>
  <c r="U65" i="4" s="1"/>
  <c r="U130" i="4"/>
  <c r="U142" i="4" s="1"/>
  <c r="W102" i="5" l="1"/>
  <c r="X61" i="5" a="1"/>
  <c r="G8" i="13"/>
  <c r="X56" i="5"/>
  <c r="X103" i="5" s="1"/>
  <c r="Y25" i="5"/>
  <c r="Y27" i="5" s="1"/>
  <c r="Z7" i="5"/>
  <c r="Z60" i="5" s="1"/>
  <c r="Z95" i="5" s="1"/>
  <c r="Z101" i="5" l="1"/>
  <c r="X102" i="5"/>
  <c r="N112" i="5" s="1"/>
  <c r="X61" i="5"/>
  <c r="X68" i="5" s="1"/>
  <c r="Y56" i="5"/>
  <c r="Y103" i="5" s="1"/>
  <c r="Y61" i="5" a="1"/>
  <c r="V75" i="4"/>
  <c r="Y102" i="5" l="1"/>
  <c r="Y61" i="5"/>
  <c r="Y68" i="5" s="1"/>
  <c r="V65" i="4"/>
  <c r="V130" i="4"/>
  <c r="V142" i="4" s="1"/>
  <c r="Z25" i="5" l="1"/>
  <c r="Z27" i="5" s="1"/>
  <c r="AA7" i="5"/>
  <c r="AA60" i="5" s="1"/>
  <c r="AA95" i="5" s="1"/>
  <c r="AA101" i="5" l="1"/>
  <c r="Z56" i="5"/>
  <c r="Z103" i="5" s="1"/>
  <c r="Z61" i="5" a="1"/>
  <c r="W75" i="4"/>
  <c r="Z102" i="5" l="1"/>
  <c r="Z61" i="5"/>
  <c r="Z68" i="5" s="1"/>
  <c r="W65" i="4"/>
  <c r="W130" i="4"/>
  <c r="W142" i="4" s="1"/>
  <c r="AA25" i="5" l="1"/>
  <c r="AA27" i="5" s="1"/>
  <c r="AB7" i="5"/>
  <c r="X75" i="4" s="1"/>
  <c r="AC7" i="5" l="1"/>
  <c r="AC60" i="5" s="1"/>
  <c r="AC95" i="5" s="1"/>
  <c r="AB60" i="5"/>
  <c r="AB95" i="5" s="1"/>
  <c r="AA56" i="5"/>
  <c r="AA103" i="5" s="1"/>
  <c r="AA61" i="5" a="1"/>
  <c r="X130" i="4"/>
  <c r="X142" i="4" s="1"/>
  <c r="AA102" i="5" l="1"/>
  <c r="AB101" i="5"/>
  <c r="AC101" i="5"/>
  <c r="I113" i="5" s="1"/>
  <c r="AA61" i="5"/>
  <c r="AA68" i="5" s="1"/>
  <c r="AB25" i="5"/>
  <c r="X65" i="4"/>
  <c r="G34" i="7"/>
  <c r="H34" i="7" s="1"/>
  <c r="E39" i="7"/>
  <c r="E40" i="7" s="1"/>
  <c r="J33" i="7"/>
  <c r="J39" i="7" s="1"/>
  <c r="K33" i="7"/>
  <c r="K39" i="7" s="1"/>
  <c r="L33" i="7"/>
  <c r="L39" i="7" s="1"/>
  <c r="M33" i="7"/>
  <c r="M39" i="7" s="1"/>
  <c r="O33" i="7"/>
  <c r="O39" i="7" s="1"/>
  <c r="P33" i="7"/>
  <c r="P39" i="7" s="1"/>
  <c r="Q33" i="7"/>
  <c r="Q39" i="7" s="1"/>
  <c r="R33" i="7"/>
  <c r="R39" i="7" s="1"/>
  <c r="T33" i="7"/>
  <c r="T39" i="7" s="1"/>
  <c r="U33" i="7"/>
  <c r="U39" i="7" s="1"/>
  <c r="V33" i="7"/>
  <c r="V39" i="7" s="1"/>
  <c r="W33" i="7"/>
  <c r="W39" i="7" s="1"/>
  <c r="Y33" i="7"/>
  <c r="Y39" i="7" s="1"/>
  <c r="Z33" i="7"/>
  <c r="Z39" i="7" s="1"/>
  <c r="AA33" i="7"/>
  <c r="AA39" i="7" s="1"/>
  <c r="AB33" i="7"/>
  <c r="AB39" i="7" s="1"/>
  <c r="J34" i="7" l="1"/>
  <c r="K34" i="7" s="1"/>
  <c r="L34" i="7" s="1"/>
  <c r="M34" i="7" s="1"/>
  <c r="O34" i="7" s="1"/>
  <c r="P34" i="7" s="1"/>
  <c r="Q34" i="7" s="1"/>
  <c r="R34" i="7" s="1"/>
  <c r="T34" i="7" s="1"/>
  <c r="U34" i="7" s="1"/>
  <c r="V34" i="7" s="1"/>
  <c r="W34" i="7" s="1"/>
  <c r="Y34" i="7" s="1"/>
  <c r="Z34" i="7" s="1"/>
  <c r="AA34" i="7" s="1"/>
  <c r="AB34" i="7" s="1"/>
  <c r="AB61" i="5" a="1"/>
  <c r="AB61" i="5" s="1"/>
  <c r="AB68" i="5" s="1"/>
  <c r="AB27" i="5"/>
  <c r="AB56" i="5"/>
  <c r="AB103" i="5" s="1"/>
  <c r="AC25" i="5"/>
  <c r="AC27" i="5" s="1"/>
  <c r="AB102" i="5" l="1"/>
  <c r="AC61" i="5" a="1"/>
  <c r="H8" i="13"/>
  <c r="AC56" i="5"/>
  <c r="AC103" i="5" s="1"/>
  <c r="E43" i="7"/>
  <c r="E13" i="5" s="1"/>
  <c r="E77" i="5" s="1"/>
  <c r="E41" i="7"/>
  <c r="AC102" i="5" l="1"/>
  <c r="N113" i="5" s="1"/>
  <c r="AC61" i="5"/>
  <c r="AC68" i="5" s="1"/>
  <c r="E17" i="5"/>
  <c r="E129" i="4"/>
  <c r="E141" i="4" s="1"/>
  <c r="F38" i="7"/>
  <c r="F40" i="7" s="1"/>
  <c r="E74" i="4"/>
  <c r="E64" i="4" l="1"/>
  <c r="E70" i="4" s="1"/>
  <c r="E10" i="4" s="1"/>
  <c r="F43" i="7"/>
  <c r="F13" i="5" s="1"/>
  <c r="F77" i="5" s="1"/>
  <c r="F41" i="7" l="1"/>
  <c r="F129" i="4" s="1"/>
  <c r="F141" i="4" s="1"/>
  <c r="F74" i="4"/>
  <c r="F64" i="4" s="1"/>
  <c r="F70" i="4" s="1"/>
  <c r="F10" i="4" s="1"/>
  <c r="F17" i="5"/>
  <c r="G38" i="7" l="1"/>
  <c r="G40" i="7" s="1"/>
  <c r="G41" i="7" l="1"/>
  <c r="G43" i="7" l="1"/>
  <c r="G13" i="5" s="1"/>
  <c r="G77" i="5" l="1"/>
  <c r="G74" i="4"/>
  <c r="G64" i="4" s="1"/>
  <c r="G17" i="5"/>
  <c r="G129" i="4"/>
  <c r="G141" i="4" s="1"/>
  <c r="G33" i="5" s="1"/>
  <c r="H38" i="7"/>
  <c r="H40" i="7" s="1"/>
  <c r="G70" i="4" l="1"/>
  <c r="G10" i="4" s="1"/>
  <c r="H43" i="7"/>
  <c r="H13" i="5" s="1"/>
  <c r="I13" i="5" l="1"/>
  <c r="I97" i="5" s="1"/>
  <c r="H74" i="4"/>
  <c r="H41" i="7"/>
  <c r="H129" i="4" s="1"/>
  <c r="H64" i="4" l="1"/>
  <c r="J38" i="7"/>
  <c r="J40" i="7" s="1"/>
  <c r="H141" i="4"/>
  <c r="J43" i="7" l="1"/>
  <c r="J13" i="5" l="1"/>
  <c r="I74" i="4" s="1"/>
  <c r="J41" i="7"/>
  <c r="I64" i="4" l="1"/>
  <c r="K38" i="7"/>
  <c r="K40" i="7" s="1"/>
  <c r="I129" i="4"/>
  <c r="I141" i="4" s="1"/>
  <c r="I48" i="4" l="1"/>
  <c r="I34" i="4"/>
  <c r="K43" i="7"/>
  <c r="K13" i="5" l="1"/>
  <c r="J74" i="4" s="1"/>
  <c r="K41" i="7"/>
  <c r="L38" i="7" s="1"/>
  <c r="L40" i="7" s="1"/>
  <c r="J34" i="4" l="1"/>
  <c r="J48" i="4"/>
  <c r="J64" i="4"/>
  <c r="J129" i="4"/>
  <c r="J141" i="4" s="1"/>
  <c r="L43" i="7" l="1"/>
  <c r="L13" i="5" l="1"/>
  <c r="K74" i="4" s="1"/>
  <c r="L41" i="7"/>
  <c r="M38" i="7" s="1"/>
  <c r="M40" i="7" s="1"/>
  <c r="K129" i="4" l="1"/>
  <c r="K141" i="4" s="1"/>
  <c r="K34" i="4"/>
  <c r="K48" i="4"/>
  <c r="K64" i="4"/>
  <c r="M43" i="7"/>
  <c r="M13" i="5" l="1"/>
  <c r="L74" i="4" s="1"/>
  <c r="N43" i="7"/>
  <c r="M41" i="7"/>
  <c r="N13" i="5" l="1"/>
  <c r="N97" i="5" s="1"/>
  <c r="L64" i="4"/>
  <c r="L129" i="4"/>
  <c r="L141" i="4" s="1"/>
  <c r="O38" i="7"/>
  <c r="O40" i="7" s="1"/>
  <c r="L48" i="4" l="1"/>
  <c r="L34" i="4"/>
  <c r="O43" i="7"/>
  <c r="O13" i="5" s="1"/>
  <c r="O97" i="5" s="1"/>
  <c r="M74" i="4" l="1"/>
  <c r="O41" i="7"/>
  <c r="M48" i="4" l="1"/>
  <c r="M34" i="4"/>
  <c r="M64" i="4"/>
  <c r="M129" i="4"/>
  <c r="M141" i="4" s="1"/>
  <c r="P38" i="7"/>
  <c r="P40" i="7" s="1"/>
  <c r="P43" i="7" l="1"/>
  <c r="P13" i="5" s="1"/>
  <c r="P97" i="5" s="1"/>
  <c r="N74" i="4" l="1"/>
  <c r="P41" i="7"/>
  <c r="N48" i="4" l="1"/>
  <c r="N34" i="4"/>
  <c r="N64" i="4"/>
  <c r="N129" i="4"/>
  <c r="N141" i="4" s="1"/>
  <c r="Q38" i="7"/>
  <c r="Q40" i="7" s="1"/>
  <c r="Q43" i="7" l="1"/>
  <c r="Q13" i="5" s="1"/>
  <c r="Q97" i="5" s="1"/>
  <c r="O74" i="4" l="1"/>
  <c r="Q41" i="7"/>
  <c r="O48" i="4" l="1"/>
  <c r="O34" i="4"/>
  <c r="O64" i="4"/>
  <c r="O129" i="4"/>
  <c r="O141" i="4" s="1"/>
  <c r="R38" i="7"/>
  <c r="R40" i="7" s="1"/>
  <c r="R43" i="7" l="1"/>
  <c r="R13" i="5" s="1"/>
  <c r="R97" i="5" s="1"/>
  <c r="S13" i="5" l="1"/>
  <c r="S97" i="5" s="1"/>
  <c r="P74" i="4"/>
  <c r="R41" i="7"/>
  <c r="P64" i="4" l="1"/>
  <c r="T38" i="7"/>
  <c r="T40" i="7" s="1"/>
  <c r="P129" i="4"/>
  <c r="P141" i="4" s="1"/>
  <c r="P48" i="4" l="1"/>
  <c r="P34" i="4"/>
  <c r="T43" i="7"/>
  <c r="T13" i="5" s="1"/>
  <c r="T97" i="5" s="1"/>
  <c r="Q74" i="4" l="1"/>
  <c r="T41" i="7"/>
  <c r="Q48" i="4" l="1"/>
  <c r="Q34" i="4"/>
  <c r="Q64" i="4"/>
  <c r="U38" i="7"/>
  <c r="U40" i="7" s="1"/>
  <c r="Q129" i="4"/>
  <c r="Q141" i="4" s="1"/>
  <c r="U43" i="7" l="1"/>
  <c r="U13" i="5" s="1"/>
  <c r="U97" i="5" s="1"/>
  <c r="R74" i="4" l="1"/>
  <c r="U41" i="7"/>
  <c r="R48" i="4" l="1"/>
  <c r="R34" i="4"/>
  <c r="R64" i="4"/>
  <c r="V38" i="7"/>
  <c r="V40" i="7" s="1"/>
  <c r="R129" i="4"/>
  <c r="R141" i="4" s="1"/>
  <c r="V43" i="7" l="1"/>
  <c r="V13" i="5" s="1"/>
  <c r="V97" i="5" s="1"/>
  <c r="V41" i="7" l="1"/>
  <c r="W38" i="7" s="1"/>
  <c r="W40" i="7" s="1"/>
  <c r="S74" i="4"/>
  <c r="S48" i="4" l="1"/>
  <c r="S34" i="4"/>
  <c r="S64" i="4"/>
  <c r="S129" i="4"/>
  <c r="S141" i="4" s="1"/>
  <c r="W43" i="7"/>
  <c r="W13" i="5" s="1"/>
  <c r="W97" i="5" s="1"/>
  <c r="X13" i="5" l="1"/>
  <c r="X97" i="5" s="1"/>
  <c r="T74" i="4"/>
  <c r="W41" i="7"/>
  <c r="T64" i="4" l="1"/>
  <c r="T129" i="4"/>
  <c r="T141" i="4" s="1"/>
  <c r="Y38" i="7"/>
  <c r="Y40" i="7" s="1"/>
  <c r="T48" i="4" l="1"/>
  <c r="T34" i="4"/>
  <c r="Y43" i="7"/>
  <c r="Y13" i="5" s="1"/>
  <c r="Y97" i="5" s="1"/>
  <c r="Y41" i="7" l="1"/>
  <c r="U129" i="4" s="1"/>
  <c r="U141" i="4" s="1"/>
  <c r="U74" i="4"/>
  <c r="Z38" i="7" l="1"/>
  <c r="U48" i="4"/>
  <c r="U34" i="4"/>
  <c r="U64" i="4"/>
  <c r="Z40" i="7" l="1"/>
  <c r="Z43" i="7" s="1"/>
  <c r="Z13" i="5" s="1"/>
  <c r="Z97" i="5" s="1"/>
  <c r="Z41" i="7" l="1"/>
  <c r="AA38" i="7" s="1"/>
  <c r="AA40" i="7" s="1"/>
  <c r="V74" i="4"/>
  <c r="V64" i="4" s="1"/>
  <c r="V129" i="4" l="1"/>
  <c r="V141" i="4" s="1"/>
  <c r="V48" i="4"/>
  <c r="AA43" i="7"/>
  <c r="AA13" i="5" s="1"/>
  <c r="AA97" i="5" s="1"/>
  <c r="W74" i="4" l="1"/>
  <c r="AA41" i="7"/>
  <c r="W48" i="4" l="1"/>
  <c r="W34" i="4"/>
  <c r="W64" i="4"/>
  <c r="W129" i="4"/>
  <c r="W141" i="4" s="1"/>
  <c r="AB38" i="7"/>
  <c r="AB40" i="7" l="1"/>
  <c r="AB43" i="7" l="1"/>
  <c r="AB13" i="5" s="1"/>
  <c r="AB97" i="5" s="1"/>
  <c r="AB41" i="7"/>
  <c r="X129" i="4" s="1"/>
  <c r="X141" i="4" s="1"/>
  <c r="X74" i="4" l="1"/>
  <c r="X64" i="4" s="1"/>
  <c r="AC13" i="5"/>
  <c r="AC97" i="5" s="1"/>
  <c r="X48" i="4" l="1"/>
  <c r="X34" i="4"/>
  <c r="G35" i="5" l="1"/>
  <c r="G42" i="5" s="1"/>
  <c r="G44" i="5" s="1"/>
  <c r="E33" i="5"/>
  <c r="F146" i="4"/>
  <c r="F11" i="4" s="1"/>
  <c r="F47" i="4" s="1"/>
  <c r="F33" i="5"/>
  <c r="G146" i="4"/>
  <c r="G11" i="4" s="1"/>
  <c r="E146" i="4"/>
  <c r="E11" i="4" s="1"/>
  <c r="E78" i="5" l="1" a="1"/>
  <c r="E78" i="5" s="1"/>
  <c r="E35" i="5"/>
  <c r="E42" i="5" s="1"/>
  <c r="F78" i="5" a="1"/>
  <c r="F78" i="5" s="1"/>
  <c r="F35" i="5"/>
  <c r="F42" i="5" s="1"/>
  <c r="G57" i="5"/>
  <c r="G78" i="5" a="1"/>
  <c r="G78" i="5" s="1"/>
  <c r="G86" i="5" s="1"/>
  <c r="G49" i="5"/>
  <c r="G51" i="5" s="1"/>
  <c r="G47" i="4"/>
  <c r="E47" i="4"/>
  <c r="G53" i="5" l="1"/>
  <c r="F6" i="8" s="1"/>
  <c r="F44" i="5"/>
  <c r="F49" i="5" s="1"/>
  <c r="F51" i="5" l="1"/>
  <c r="G54" i="5"/>
  <c r="E44" i="5"/>
  <c r="F53" i="5" l="1"/>
  <c r="E6" i="8" s="1"/>
  <c r="E49" i="5"/>
  <c r="F54" i="5" l="1"/>
  <c r="E51" i="5"/>
  <c r="E53" i="5" s="1"/>
  <c r="D6" i="8" l="1"/>
  <c r="E54" i="5"/>
  <c r="E38" i="4"/>
  <c r="F38" i="4" s="1"/>
  <c r="E41" i="4" l="1"/>
  <c r="F41" i="4"/>
  <c r="G38" i="4"/>
  <c r="G41" i="4" l="1"/>
  <c r="I81" i="11" l="1"/>
  <c r="F34" i="4" l="1"/>
  <c r="F43" i="4" s="1"/>
  <c r="F48" i="4"/>
  <c r="F49" i="4" s="1"/>
  <c r="G34" i="4"/>
  <c r="G43" i="4" s="1"/>
  <c r="G48" i="4"/>
  <c r="G49" i="4" s="1"/>
  <c r="H34" i="4"/>
  <c r="H48" i="4"/>
  <c r="E34" i="4"/>
  <c r="E43" i="4" s="1"/>
  <c r="E48" i="4"/>
  <c r="E49" i="4" s="1"/>
  <c r="E50" i="4" s="1"/>
  <c r="D9" i="8" s="1"/>
  <c r="D10" i="8" s="1"/>
  <c r="D25" i="8" s="1"/>
  <c r="D26" i="8" s="1"/>
  <c r="G50" i="4" l="1"/>
  <c r="F9" i="8" s="1"/>
  <c r="F10" i="8" s="1"/>
  <c r="F25" i="8" s="1"/>
  <c r="E8" i="4"/>
  <c r="E22" i="4" s="1"/>
  <c r="E44" i="4" s="1"/>
  <c r="E24" i="8"/>
  <c r="F50" i="4"/>
  <c r="E9" i="8" s="1"/>
  <c r="E10" i="8" s="1"/>
  <c r="E25" i="8" s="1"/>
  <c r="E26" i="8" l="1"/>
  <c r="F24" i="8" l="1"/>
  <c r="F26" i="8" s="1"/>
  <c r="F8" i="4"/>
  <c r="F22" i="4" s="1"/>
  <c r="F44" i="4" s="1"/>
  <c r="G8" i="4" l="1"/>
  <c r="G22" i="4" s="1"/>
  <c r="G44" i="4" s="1"/>
  <c r="G24" i="8"/>
  <c r="V34" i="4"/>
  <c r="H22" i="7"/>
  <c r="H128" i="4" s="1"/>
  <c r="H140" i="4" s="1"/>
  <c r="J19" i="7"/>
  <c r="J21" i="7" s="1"/>
  <c r="J31" i="7" s="1"/>
  <c r="H31" i="7"/>
  <c r="H12" i="5" s="1"/>
  <c r="H40" i="5" l="1"/>
  <c r="I40" i="5" s="1"/>
  <c r="D13" i="13" s="1"/>
  <c r="I12" i="5"/>
  <c r="H77" i="5"/>
  <c r="J12" i="5"/>
  <c r="I73" i="4" s="1"/>
  <c r="I63" i="4" s="1"/>
  <c r="I70" i="4" s="1"/>
  <c r="I10" i="4" s="1"/>
  <c r="J22" i="7"/>
  <c r="I128" i="4" s="1"/>
  <c r="I140" i="4" s="1"/>
  <c r="H33" i="5"/>
  <c r="H146" i="4"/>
  <c r="H11" i="4" s="1"/>
  <c r="H73" i="4"/>
  <c r="H63" i="4" s="1"/>
  <c r="H70" i="4" s="1"/>
  <c r="H10" i="4" s="1"/>
  <c r="H17" i="5"/>
  <c r="I96" i="5" l="1"/>
  <c r="I115" i="5" s="1"/>
  <c r="I123" i="5" s="1"/>
  <c r="J17" i="5"/>
  <c r="K19" i="7"/>
  <c r="K21" i="7" s="1"/>
  <c r="J77" i="5"/>
  <c r="J40" i="5"/>
  <c r="H47" i="4"/>
  <c r="H49" i="4" s="1"/>
  <c r="H50" i="4" s="1"/>
  <c r="G9" i="8" s="1"/>
  <c r="K31" i="7"/>
  <c r="J33" i="5"/>
  <c r="I146" i="4"/>
  <c r="I11" i="4" s="1"/>
  <c r="I47" i="4" s="1"/>
  <c r="I49" i="4" s="1"/>
  <c r="I17" i="5"/>
  <c r="D3" i="13" s="1"/>
  <c r="I77" i="5"/>
  <c r="H57" i="5"/>
  <c r="I33" i="5"/>
  <c r="H78" i="5" a="1"/>
  <c r="H35" i="5"/>
  <c r="H42" i="5" s="1"/>
  <c r="H44" i="5" s="1"/>
  <c r="D4" i="13" l="1"/>
  <c r="D41" i="13"/>
  <c r="D43" i="13"/>
  <c r="E44" i="13"/>
  <c r="D42" i="13"/>
  <c r="K12" i="5"/>
  <c r="K77" i="5" s="1"/>
  <c r="I50" i="4"/>
  <c r="I9" i="8" s="1"/>
  <c r="K22" i="7"/>
  <c r="J128" i="4" s="1"/>
  <c r="J140" i="4" s="1"/>
  <c r="H49" i="5"/>
  <c r="I44" i="5"/>
  <c r="I35" i="5"/>
  <c r="I42" i="5" s="1"/>
  <c r="I78" i="5" a="1"/>
  <c r="D9" i="13"/>
  <c r="I57" i="5"/>
  <c r="I117" i="5" s="1"/>
  <c r="I116" i="5" s="1"/>
  <c r="N123" i="5" s="1"/>
  <c r="H78" i="5"/>
  <c r="H86" i="5" s="1"/>
  <c r="J78" i="5" a="1"/>
  <c r="J35" i="5"/>
  <c r="J42" i="5" s="1"/>
  <c r="J44" i="5" s="1"/>
  <c r="J57" i="5"/>
  <c r="I118" i="5" l="1"/>
  <c r="X123" i="5"/>
  <c r="D7" i="13"/>
  <c r="D14" i="13" s="1"/>
  <c r="D16" i="13" s="1"/>
  <c r="K40" i="5"/>
  <c r="J73" i="4"/>
  <c r="J63" i="4" s="1"/>
  <c r="J70" i="4" s="1"/>
  <c r="J10" i="4" s="1"/>
  <c r="K17" i="5"/>
  <c r="L19" i="7"/>
  <c r="L21" i="7" s="1"/>
  <c r="L31" i="7" s="1"/>
  <c r="J49" i="5"/>
  <c r="J146" i="4"/>
  <c r="J11" i="4" s="1"/>
  <c r="K33" i="5"/>
  <c r="I78" i="5"/>
  <c r="I86" i="5" s="1"/>
  <c r="J78" i="5"/>
  <c r="J86" i="5" s="1"/>
  <c r="I49" i="5"/>
  <c r="I51" i="5" s="1"/>
  <c r="D20" i="13" s="1"/>
  <c r="H51" i="5"/>
  <c r="H53" i="5" s="1"/>
  <c r="I104" i="5" l="1"/>
  <c r="S109" i="5" s="1"/>
  <c r="S123" i="5"/>
  <c r="L22" i="7"/>
  <c r="M19" i="7" s="1"/>
  <c r="M21" i="7" s="1"/>
  <c r="I119" i="5"/>
  <c r="I105" i="5"/>
  <c r="X109" i="5"/>
  <c r="I120" i="5"/>
  <c r="D29" i="13"/>
  <c r="D38" i="13"/>
  <c r="D19" i="13"/>
  <c r="D21" i="13" s="1"/>
  <c r="J47" i="4"/>
  <c r="J49" i="4" s="1"/>
  <c r="J50" i="4" s="1"/>
  <c r="J9" i="8" s="1"/>
  <c r="L12" i="5"/>
  <c r="L40" i="5" s="1"/>
  <c r="K57" i="5"/>
  <c r="K78" i="5" a="1"/>
  <c r="K35" i="5"/>
  <c r="K42" i="5" s="1"/>
  <c r="K44" i="5" s="1"/>
  <c r="G6" i="8"/>
  <c r="G10" i="8" s="1"/>
  <c r="G25" i="8" s="1"/>
  <c r="G26" i="8" s="1"/>
  <c r="H38" i="4"/>
  <c r="I53" i="5"/>
  <c r="H54" i="5"/>
  <c r="K128" i="4"/>
  <c r="K140" i="4" s="1"/>
  <c r="J51" i="5"/>
  <c r="J53" i="5" s="1"/>
  <c r="H8" i="4" l="1"/>
  <c r="I24" i="8"/>
  <c r="I129" i="5"/>
  <c r="AC123" i="5"/>
  <c r="AD123" i="5" s="1"/>
  <c r="L77" i="5"/>
  <c r="I121" i="5"/>
  <c r="K73" i="4"/>
  <c r="K63" i="4" s="1"/>
  <c r="K70" i="4" s="1"/>
  <c r="K10" i="4" s="1"/>
  <c r="L17" i="5"/>
  <c r="I54" i="5"/>
  <c r="I106" i="5"/>
  <c r="D30" i="13"/>
  <c r="D48" i="13"/>
  <c r="H22" i="4"/>
  <c r="I6" i="8"/>
  <c r="I10" i="8" s="1"/>
  <c r="I25" i="8" s="1"/>
  <c r="J54" i="5"/>
  <c r="M31" i="7"/>
  <c r="L33" i="5"/>
  <c r="K146" i="4"/>
  <c r="K11" i="4" s="1"/>
  <c r="K49" i="5"/>
  <c r="K78" i="5"/>
  <c r="K86" i="5" s="1"/>
  <c r="I38" i="4"/>
  <c r="H41" i="4"/>
  <c r="D37" i="13" s="1"/>
  <c r="I26" i="8" l="1"/>
  <c r="I130" i="5"/>
  <c r="I131" i="5" s="1"/>
  <c r="AC109" i="5"/>
  <c r="AD109" i="5" s="1"/>
  <c r="K47" i="4"/>
  <c r="K49" i="4" s="1"/>
  <c r="K50" i="4" s="1"/>
  <c r="K9" i="8" s="1"/>
  <c r="C39" i="8" s="1"/>
  <c r="C42" i="8" s="1"/>
  <c r="I107" i="5"/>
  <c r="D50" i="13"/>
  <c r="D49" i="13"/>
  <c r="H43" i="4"/>
  <c r="H44" i="4" s="1"/>
  <c r="D34" i="13"/>
  <c r="D33" i="13"/>
  <c r="M12" i="5"/>
  <c r="M17" i="5" s="1"/>
  <c r="N31" i="7"/>
  <c r="N45" i="7" s="1"/>
  <c r="N53" i="7" s="1"/>
  <c r="K51" i="5"/>
  <c r="K53" i="5" s="1"/>
  <c r="L78" i="5" a="1"/>
  <c r="L57" i="5"/>
  <c r="L35" i="5"/>
  <c r="L42" i="5" s="1"/>
  <c r="L44" i="5" s="1"/>
  <c r="M22" i="7"/>
  <c r="I41" i="4"/>
  <c r="I43" i="4" s="1"/>
  <c r="N12" i="5" l="1"/>
  <c r="N77" i="5" s="1"/>
  <c r="M77" i="5"/>
  <c r="L73" i="4"/>
  <c r="L63" i="4" s="1"/>
  <c r="L70" i="4" s="1"/>
  <c r="L10" i="4" s="1"/>
  <c r="M40" i="5"/>
  <c r="N40" i="5" s="1"/>
  <c r="E13" i="13" s="1"/>
  <c r="J6" i="8"/>
  <c r="J10" i="8" s="1"/>
  <c r="J25" i="8" s="1"/>
  <c r="K54" i="5"/>
  <c r="J38" i="4"/>
  <c r="L49" i="5"/>
  <c r="N17" i="5"/>
  <c r="E3" i="13" s="1"/>
  <c r="J24" i="8"/>
  <c r="I8" i="4"/>
  <c r="I22" i="4" s="1"/>
  <c r="I44" i="4" s="1"/>
  <c r="L128" i="4"/>
  <c r="L140" i="4" s="1"/>
  <c r="O19" i="7"/>
  <c r="O21" i="7" s="1"/>
  <c r="L78" i="5"/>
  <c r="L86" i="5" s="1"/>
  <c r="E4" i="13" l="1"/>
  <c r="I11" i="13" s="1"/>
  <c r="F44" i="13"/>
  <c r="E41" i="13"/>
  <c r="E43" i="13"/>
  <c r="J26" i="8"/>
  <c r="K24" i="8" s="1"/>
  <c r="N96" i="5"/>
  <c r="N115" i="5" s="1"/>
  <c r="I124" i="5" s="1"/>
  <c r="L51" i="5"/>
  <c r="L53" i="5" s="1"/>
  <c r="K38" i="4" s="1"/>
  <c r="J41" i="4"/>
  <c r="J43" i="4" s="1"/>
  <c r="O31" i="7"/>
  <c r="O12" i="5" s="1"/>
  <c r="O96" i="5" s="1"/>
  <c r="O115" i="5" s="1"/>
  <c r="M33" i="5"/>
  <c r="L146" i="4"/>
  <c r="I12" i="13" l="1"/>
  <c r="J8" i="4"/>
  <c r="J22" i="4" s="1"/>
  <c r="J44" i="4" s="1"/>
  <c r="I10" i="13"/>
  <c r="I8" i="13"/>
  <c r="I13" i="13"/>
  <c r="L11" i="4"/>
  <c r="K41" i="4"/>
  <c r="K43" i="4" s="1"/>
  <c r="M57" i="5"/>
  <c r="M78" i="5" a="1"/>
  <c r="M35" i="5"/>
  <c r="M42" i="5" s="1"/>
  <c r="M44" i="5" s="1"/>
  <c r="N33" i="5"/>
  <c r="K6" i="8"/>
  <c r="K10" i="8" s="1"/>
  <c r="K25" i="8" s="1"/>
  <c r="K26" i="8" s="1"/>
  <c r="L54" i="5"/>
  <c r="O17" i="5"/>
  <c r="M73" i="4"/>
  <c r="M63" i="4" s="1"/>
  <c r="M70" i="4" s="1"/>
  <c r="M10" i="4" s="1"/>
  <c r="O77" i="5"/>
  <c r="O40" i="5"/>
  <c r="O22" i="7"/>
  <c r="L47" i="4" l="1"/>
  <c r="L49" i="4" s="1"/>
  <c r="L50" i="4" s="1"/>
  <c r="L9" i="8" s="1"/>
  <c r="E42" i="13"/>
  <c r="C44" i="8"/>
  <c r="C45" i="8" s="1"/>
  <c r="L24" i="8"/>
  <c r="K8" i="4"/>
  <c r="K22" i="4" s="1"/>
  <c r="K44" i="4" s="1"/>
  <c r="N78" i="5" a="1"/>
  <c r="N57" i="5"/>
  <c r="N117" i="5" s="1"/>
  <c r="N116" i="5" s="1"/>
  <c r="N124" i="5" s="1"/>
  <c r="E9" i="13"/>
  <c r="I9" i="13" s="1"/>
  <c r="N35" i="5"/>
  <c r="N42" i="5" s="1"/>
  <c r="M49" i="5"/>
  <c r="N44" i="5"/>
  <c r="M128" i="4"/>
  <c r="M140" i="4" s="1"/>
  <c r="P19" i="7"/>
  <c r="P21" i="7" s="1"/>
  <c r="M78" i="5"/>
  <c r="M86" i="5" s="1"/>
  <c r="N118" i="5" l="1"/>
  <c r="S124" i="5" s="1"/>
  <c r="X124" i="5"/>
  <c r="E7" i="13"/>
  <c r="I7" i="13" s="1"/>
  <c r="N78" i="5"/>
  <c r="N86" i="5" s="1"/>
  <c r="P31" i="7"/>
  <c r="P12" i="5" s="1"/>
  <c r="P96" i="5" s="1"/>
  <c r="P115" i="5" s="1"/>
  <c r="O33" i="5"/>
  <c r="M146" i="4"/>
  <c r="M11" i="4" s="1"/>
  <c r="M47" i="4" s="1"/>
  <c r="M49" i="4" s="1"/>
  <c r="M50" i="4" s="1"/>
  <c r="N9" i="8" s="1"/>
  <c r="M51" i="5"/>
  <c r="N51" i="5" s="1"/>
  <c r="E20" i="13" s="1"/>
  <c r="N49" i="5"/>
  <c r="N119" i="5" l="1"/>
  <c r="N120" i="5"/>
  <c r="N104" i="5"/>
  <c r="S110" i="5" s="1"/>
  <c r="E14" i="13"/>
  <c r="E16" i="13" s="1"/>
  <c r="P22" i="7"/>
  <c r="Q19" i="7" s="1"/>
  <c r="Q21" i="7" s="1"/>
  <c r="O78" i="5" a="1"/>
  <c r="O57" i="5"/>
  <c r="O117" i="5" s="1"/>
  <c r="O116" i="5" s="1"/>
  <c r="O118" i="5" s="1"/>
  <c r="O35" i="5"/>
  <c r="O42" i="5" s="1"/>
  <c r="O44" i="5" s="1"/>
  <c r="P17" i="5"/>
  <c r="N73" i="4"/>
  <c r="N63" i="4" s="1"/>
  <c r="N70" i="4" s="1"/>
  <c r="N10" i="4" s="1"/>
  <c r="P77" i="5"/>
  <c r="P40" i="5"/>
  <c r="M53" i="5"/>
  <c r="N129" i="5" l="1"/>
  <c r="AC124" i="5"/>
  <c r="AD124" i="5" s="1"/>
  <c r="O120" i="5"/>
  <c r="O129" i="5" s="1"/>
  <c r="N121" i="5"/>
  <c r="N105" i="5"/>
  <c r="X110" i="5"/>
  <c r="O104" i="5"/>
  <c r="O105" i="5" s="1"/>
  <c r="O119" i="5"/>
  <c r="E29" i="13"/>
  <c r="E38" i="13"/>
  <c r="E19" i="13"/>
  <c r="E21" i="13" s="1"/>
  <c r="N128" i="4"/>
  <c r="N140" i="4" s="1"/>
  <c r="N146" i="4" s="1"/>
  <c r="N11" i="4" s="1"/>
  <c r="N47" i="4" s="1"/>
  <c r="N49" i="4" s="1"/>
  <c r="N50" i="4" s="1"/>
  <c r="O9" i="8" s="1"/>
  <c r="Q31" i="7"/>
  <c r="Q12" i="5" s="1"/>
  <c r="Q96" i="5" s="1"/>
  <c r="Q115" i="5" s="1"/>
  <c r="L6" i="8"/>
  <c r="L10" i="8" s="1"/>
  <c r="L25" i="8" s="1"/>
  <c r="L26" i="8" s="1"/>
  <c r="M54" i="5"/>
  <c r="N54" i="5" s="1"/>
  <c r="N53" i="5"/>
  <c r="N106" i="5" s="1"/>
  <c r="L38" i="4"/>
  <c r="O78" i="5"/>
  <c r="O86" i="5" s="1"/>
  <c r="O49" i="5"/>
  <c r="O121" i="5" l="1"/>
  <c r="N130" i="5"/>
  <c r="N131" i="5" s="1"/>
  <c r="AC110" i="5"/>
  <c r="AD110" i="5" s="1"/>
  <c r="N107" i="5"/>
  <c r="E30" i="13"/>
  <c r="E48" i="13"/>
  <c r="P33" i="5"/>
  <c r="P57" i="5" s="1"/>
  <c r="P117" i="5" s="1"/>
  <c r="P116" i="5" s="1"/>
  <c r="P118" i="5" s="1"/>
  <c r="O51" i="5"/>
  <c r="L41" i="4"/>
  <c r="E37" i="13" s="1"/>
  <c r="Q17" i="5"/>
  <c r="O73" i="4"/>
  <c r="O63" i="4" s="1"/>
  <c r="O70" i="4" s="1"/>
  <c r="O10" i="4" s="1"/>
  <c r="Q77" i="5"/>
  <c r="Q40" i="5"/>
  <c r="L8" i="4"/>
  <c r="L22" i="4" s="1"/>
  <c r="N24" i="8"/>
  <c r="Q22" i="7"/>
  <c r="P35" i="5" l="1"/>
  <c r="P42" i="5" s="1"/>
  <c r="P44" i="5" s="1"/>
  <c r="P104" i="5" s="1"/>
  <c r="P105" i="5" s="1"/>
  <c r="P120" i="5"/>
  <c r="P129" i="5" s="1"/>
  <c r="P119" i="5"/>
  <c r="P78" i="5" a="1"/>
  <c r="P78" i="5" s="1"/>
  <c r="P86" i="5" s="1"/>
  <c r="E50" i="13"/>
  <c r="E49" i="13"/>
  <c r="L43" i="4"/>
  <c r="L44" i="4" s="1"/>
  <c r="E34" i="13"/>
  <c r="E33" i="13"/>
  <c r="O128" i="4"/>
  <c r="O140" i="4" s="1"/>
  <c r="R19" i="7"/>
  <c r="R21" i="7" s="1"/>
  <c r="O53" i="5"/>
  <c r="O106" i="5" s="1"/>
  <c r="O130" i="5" s="1"/>
  <c r="O131" i="5" s="1"/>
  <c r="P121" i="5" l="1"/>
  <c r="P49" i="5"/>
  <c r="P51" i="5" s="1"/>
  <c r="P53" i="5" s="1"/>
  <c r="P106" i="5" s="1"/>
  <c r="P130" i="5" s="1"/>
  <c r="P131" i="5" s="1"/>
  <c r="O107" i="5"/>
  <c r="R31" i="7"/>
  <c r="R12" i="5" s="1"/>
  <c r="R96" i="5" s="1"/>
  <c r="R115" i="5" s="1"/>
  <c r="N6" i="8"/>
  <c r="N10" i="8" s="1"/>
  <c r="N25" i="8" s="1"/>
  <c r="N26" i="8" s="1"/>
  <c r="O54" i="5"/>
  <c r="M38" i="4"/>
  <c r="Q33" i="5"/>
  <c r="O146" i="4"/>
  <c r="O11" i="4" s="1"/>
  <c r="O47" i="4" s="1"/>
  <c r="O49" i="4" s="1"/>
  <c r="O50" i="4" s="1"/>
  <c r="P9" i="8" s="1"/>
  <c r="P107" i="5" l="1"/>
  <c r="O6" i="8"/>
  <c r="O10" i="8" s="1"/>
  <c r="O25" i="8" s="1"/>
  <c r="P54" i="5"/>
  <c r="R17" i="5"/>
  <c r="P73" i="4"/>
  <c r="P63" i="4" s="1"/>
  <c r="P70" i="4" s="1"/>
  <c r="P10" i="4" s="1"/>
  <c r="R77" i="5"/>
  <c r="R40" i="5"/>
  <c r="S40" i="5" s="1"/>
  <c r="F13" i="13" s="1"/>
  <c r="S12" i="5"/>
  <c r="N38" i="4"/>
  <c r="M41" i="4"/>
  <c r="M43" i="4" s="1"/>
  <c r="O24" i="8"/>
  <c r="M8" i="4"/>
  <c r="M22" i="4" s="1"/>
  <c r="R22" i="7"/>
  <c r="Q57" i="5"/>
  <c r="Q117" i="5" s="1"/>
  <c r="Q116" i="5" s="1"/>
  <c r="Q118" i="5" s="1"/>
  <c r="Q78" i="5" a="1"/>
  <c r="Q35" i="5"/>
  <c r="Q42" i="5" s="1"/>
  <c r="Q44" i="5" s="1"/>
  <c r="Q104" i="5" l="1"/>
  <c r="Q105" i="5" s="1"/>
  <c r="Q120" i="5"/>
  <c r="Q129" i="5" s="1"/>
  <c r="Q119" i="5"/>
  <c r="O26" i="8"/>
  <c r="N8" i="4" s="1"/>
  <c r="N22" i="4" s="1"/>
  <c r="S77" i="5"/>
  <c r="S96" i="5"/>
  <c r="S115" i="5" s="1"/>
  <c r="I125" i="5" s="1"/>
  <c r="M44" i="4"/>
  <c r="Q49" i="5"/>
  <c r="T19" i="7"/>
  <c r="T21" i="7" s="1"/>
  <c r="P128" i="4"/>
  <c r="P140" i="4" s="1"/>
  <c r="Q78" i="5"/>
  <c r="Q86" i="5" s="1"/>
  <c r="S17" i="5"/>
  <c r="F3" i="13" s="1"/>
  <c r="N41" i="4"/>
  <c r="N43" i="4" s="1"/>
  <c r="Q121" i="5" l="1"/>
  <c r="F4" i="13"/>
  <c r="J11" i="13" s="1"/>
  <c r="G44" i="13"/>
  <c r="F41" i="13"/>
  <c r="F43" i="13"/>
  <c r="P24" i="8"/>
  <c r="N44" i="4"/>
  <c r="T31" i="7"/>
  <c r="T12" i="5" s="1"/>
  <c r="T96" i="5" s="1"/>
  <c r="T115" i="5" s="1"/>
  <c r="T22" i="7"/>
  <c r="R33" i="5"/>
  <c r="P146" i="4"/>
  <c r="P11" i="4" s="1"/>
  <c r="P47" i="4" s="1"/>
  <c r="P49" i="4" s="1"/>
  <c r="P50" i="4" s="1"/>
  <c r="Q9" i="8" s="1"/>
  <c r="Q51" i="5"/>
  <c r="Q53" i="5" s="1"/>
  <c r="Q106" i="5" s="1"/>
  <c r="Q130" i="5" s="1"/>
  <c r="Q131" i="5" s="1"/>
  <c r="Q107" i="5" l="1"/>
  <c r="J13" i="13"/>
  <c r="J10" i="13"/>
  <c r="J12" i="13"/>
  <c r="J8" i="13"/>
  <c r="F42" i="13"/>
  <c r="Q128" i="4"/>
  <c r="Q140" i="4" s="1"/>
  <c r="U19" i="7"/>
  <c r="U21" i="7" s="1"/>
  <c r="Q54" i="5"/>
  <c r="P6" i="8"/>
  <c r="P10" i="8" s="1"/>
  <c r="P25" i="8" s="1"/>
  <c r="P26" i="8" s="1"/>
  <c r="O38" i="4"/>
  <c r="R57" i="5"/>
  <c r="R117" i="5" s="1"/>
  <c r="R116" i="5" s="1"/>
  <c r="R118" i="5" s="1"/>
  <c r="R78" i="5" a="1"/>
  <c r="R35" i="5"/>
  <c r="R42" i="5" s="1"/>
  <c r="R44" i="5" s="1"/>
  <c r="S33" i="5"/>
  <c r="S35" i="5" s="1"/>
  <c r="Q73" i="4"/>
  <c r="Q63" i="4" s="1"/>
  <c r="Q70" i="4" s="1"/>
  <c r="Q10" i="4" s="1"/>
  <c r="T17" i="5"/>
  <c r="T40" i="5"/>
  <c r="T77" i="5"/>
  <c r="R120" i="5" l="1"/>
  <c r="R129" i="5" s="1"/>
  <c r="R104" i="5"/>
  <c r="R105" i="5" s="1"/>
  <c r="R119" i="5"/>
  <c r="R78" i="5"/>
  <c r="R86" i="5" s="1"/>
  <c r="Q24" i="8"/>
  <c r="O8" i="4"/>
  <c r="O22" i="4" s="1"/>
  <c r="U31" i="7"/>
  <c r="U12" i="5" s="1"/>
  <c r="U96" i="5" s="1"/>
  <c r="U115" i="5" s="1"/>
  <c r="R49" i="5"/>
  <c r="S44" i="5"/>
  <c r="O41" i="4"/>
  <c r="O43" i="4" s="1"/>
  <c r="S42" i="5"/>
  <c r="S78" i="5" a="1"/>
  <c r="S57" i="5"/>
  <c r="S117" i="5" s="1"/>
  <c r="S116" i="5" s="1"/>
  <c r="N125" i="5" s="1"/>
  <c r="F9" i="13"/>
  <c r="T33" i="5"/>
  <c r="Q146" i="4"/>
  <c r="Q11" i="4" s="1"/>
  <c r="Q47" i="4" s="1"/>
  <c r="Q49" i="4" s="1"/>
  <c r="Q50" i="4" s="1"/>
  <c r="S9" i="8" s="1"/>
  <c r="R121" i="5" l="1"/>
  <c r="S118" i="5"/>
  <c r="S125" i="5" s="1"/>
  <c r="X125" i="5"/>
  <c r="O44" i="4"/>
  <c r="F7" i="13"/>
  <c r="J9" i="13"/>
  <c r="R73" i="4"/>
  <c r="R63" i="4" s="1"/>
  <c r="R70" i="4" s="1"/>
  <c r="R10" i="4" s="1"/>
  <c r="U17" i="5"/>
  <c r="U77" i="5"/>
  <c r="U40" i="5"/>
  <c r="R51" i="5"/>
  <c r="S51" i="5" s="1"/>
  <c r="F20" i="13" s="1"/>
  <c r="S49" i="5"/>
  <c r="T78" i="5" a="1"/>
  <c r="T57" i="5"/>
  <c r="T117" i="5" s="1"/>
  <c r="T116" i="5" s="1"/>
  <c r="T118" i="5" s="1"/>
  <c r="T35" i="5"/>
  <c r="T42" i="5" s="1"/>
  <c r="T44" i="5" s="1"/>
  <c r="S78" i="5"/>
  <c r="S86" i="5" s="1"/>
  <c r="U22" i="7"/>
  <c r="S119" i="5" l="1"/>
  <c r="S104" i="5"/>
  <c r="S111" i="5" s="1"/>
  <c r="T120" i="5"/>
  <c r="T129" i="5" s="1"/>
  <c r="S120" i="5"/>
  <c r="S105" i="5"/>
  <c r="X111" i="5"/>
  <c r="T104" i="5"/>
  <c r="T105" i="5" s="1"/>
  <c r="T119" i="5"/>
  <c r="F14" i="13"/>
  <c r="F16" i="13" s="1"/>
  <c r="J7" i="13"/>
  <c r="T49" i="5"/>
  <c r="R53" i="5"/>
  <c r="R106" i="5" s="1"/>
  <c r="R130" i="5" s="1"/>
  <c r="R131" i="5" s="1"/>
  <c r="R128" i="4"/>
  <c r="R140" i="4" s="1"/>
  <c r="V19" i="7"/>
  <c r="V21" i="7" s="1"/>
  <c r="T78" i="5"/>
  <c r="T86" i="5" s="1"/>
  <c r="T121" i="5" l="1"/>
  <c r="S121" i="5"/>
  <c r="AC125" i="5"/>
  <c r="AD125" i="5" s="1"/>
  <c r="S129" i="5"/>
  <c r="R107" i="5"/>
  <c r="F29" i="13"/>
  <c r="F38" i="13"/>
  <c r="F19" i="13"/>
  <c r="F21" i="13" s="1"/>
  <c r="V31" i="7"/>
  <c r="V12" i="5" s="1"/>
  <c r="V96" i="5" s="1"/>
  <c r="V115" i="5" s="1"/>
  <c r="Q6" i="8"/>
  <c r="Q10" i="8" s="1"/>
  <c r="Q25" i="8" s="1"/>
  <c r="Q26" i="8" s="1"/>
  <c r="P8" i="4" s="1"/>
  <c r="R54" i="5"/>
  <c r="S54" i="5" s="1"/>
  <c r="S53" i="5"/>
  <c r="S106" i="5" s="1"/>
  <c r="P38" i="4"/>
  <c r="U33" i="5"/>
  <c r="R146" i="4"/>
  <c r="R11" i="4" s="1"/>
  <c r="R47" i="4" s="1"/>
  <c r="R49" i="4" s="1"/>
  <c r="R50" i="4" s="1"/>
  <c r="T9" i="8" s="1"/>
  <c r="T51" i="5"/>
  <c r="AC111" i="5" l="1"/>
  <c r="AD111" i="5" s="1"/>
  <c r="S130" i="5"/>
  <c r="S131" i="5" s="1"/>
  <c r="S107" i="5"/>
  <c r="F30" i="13"/>
  <c r="F48" i="13"/>
  <c r="U57" i="5"/>
  <c r="U117" i="5" s="1"/>
  <c r="U116" i="5" s="1"/>
  <c r="U118" i="5" s="1"/>
  <c r="U78" i="5" a="1"/>
  <c r="U35" i="5"/>
  <c r="U42" i="5" s="1"/>
  <c r="U44" i="5" s="1"/>
  <c r="P41" i="4"/>
  <c r="F37" i="13" s="1"/>
  <c r="S73" i="4"/>
  <c r="S63" i="4" s="1"/>
  <c r="S70" i="4" s="1"/>
  <c r="S10" i="4" s="1"/>
  <c r="V40" i="5"/>
  <c r="V77" i="5"/>
  <c r="V17" i="5"/>
  <c r="P22" i="4"/>
  <c r="S24" i="8"/>
  <c r="T53" i="5"/>
  <c r="V22" i="7"/>
  <c r="U120" i="5" l="1"/>
  <c r="U129" i="5" s="1"/>
  <c r="U104" i="5"/>
  <c r="U105" i="5" s="1"/>
  <c r="Q38" i="4"/>
  <c r="Q41" i="4" s="1"/>
  <c r="Q43" i="4" s="1"/>
  <c r="T106" i="5"/>
  <c r="T130" i="5" s="1"/>
  <c r="T131" i="5" s="1"/>
  <c r="U119" i="5"/>
  <c r="F50" i="13"/>
  <c r="F49" i="13"/>
  <c r="P43" i="4"/>
  <c r="P44" i="4" s="1"/>
  <c r="F33" i="13"/>
  <c r="F34" i="13"/>
  <c r="W19" i="7"/>
  <c r="W21" i="7" s="1"/>
  <c r="S128" i="4"/>
  <c r="S140" i="4" s="1"/>
  <c r="U49" i="5"/>
  <c r="S6" i="8"/>
  <c r="S10" i="8" s="1"/>
  <c r="S25" i="8" s="1"/>
  <c r="S26" i="8" s="1"/>
  <c r="T54" i="5"/>
  <c r="U78" i="5"/>
  <c r="U86" i="5" s="1"/>
  <c r="U121" i="5" l="1"/>
  <c r="T107" i="5"/>
  <c r="T24" i="8"/>
  <c r="Q8" i="4"/>
  <c r="Q22" i="4" s="1"/>
  <c r="Q44" i="4" s="1"/>
  <c r="W31" i="7"/>
  <c r="W12" i="5" s="1"/>
  <c r="W96" i="5" s="1"/>
  <c r="W115" i="5" s="1"/>
  <c r="W22" i="7"/>
  <c r="V33" i="5"/>
  <c r="S146" i="4"/>
  <c r="S11" i="4" s="1"/>
  <c r="S47" i="4" s="1"/>
  <c r="S49" i="4" s="1"/>
  <c r="S50" i="4" s="1"/>
  <c r="U9" i="8" s="1"/>
  <c r="U51" i="5"/>
  <c r="U53" i="5" s="1"/>
  <c r="U106" i="5" s="1"/>
  <c r="U130" i="5" s="1"/>
  <c r="U131" i="5" s="1"/>
  <c r="U107" i="5" l="1"/>
  <c r="T128" i="4"/>
  <c r="T140" i="4" s="1"/>
  <c r="Y19" i="7"/>
  <c r="Y21" i="7" s="1"/>
  <c r="T6" i="8"/>
  <c r="T10" i="8" s="1"/>
  <c r="T25" i="8" s="1"/>
  <c r="T26" i="8" s="1"/>
  <c r="U54" i="5"/>
  <c r="R38" i="4"/>
  <c r="V78" i="5" a="1"/>
  <c r="V35" i="5"/>
  <c r="V42" i="5" s="1"/>
  <c r="V44" i="5" s="1"/>
  <c r="V57" i="5"/>
  <c r="V117" i="5" s="1"/>
  <c r="V116" i="5" s="1"/>
  <c r="V118" i="5" s="1"/>
  <c r="W17" i="5"/>
  <c r="W40" i="5"/>
  <c r="X40" i="5" s="1"/>
  <c r="G13" i="13" s="1"/>
  <c r="T73" i="4"/>
  <c r="T63" i="4" s="1"/>
  <c r="T70" i="4" s="1"/>
  <c r="T10" i="4" s="1"/>
  <c r="W77" i="5"/>
  <c r="X12" i="5"/>
  <c r="V120" i="5" l="1"/>
  <c r="V129" i="5" s="1"/>
  <c r="V104" i="5"/>
  <c r="V105" i="5" s="1"/>
  <c r="V119" i="5"/>
  <c r="X77" i="5"/>
  <c r="X96" i="5"/>
  <c r="X115" i="5" s="1"/>
  <c r="I126" i="5" s="1"/>
  <c r="V78" i="5"/>
  <c r="V86" i="5" s="1"/>
  <c r="R8" i="4"/>
  <c r="R22" i="4" s="1"/>
  <c r="U24" i="8"/>
  <c r="W33" i="5"/>
  <c r="T146" i="4"/>
  <c r="T11" i="4" s="1"/>
  <c r="T47" i="4" s="1"/>
  <c r="T49" i="4" s="1"/>
  <c r="T50" i="4" s="1"/>
  <c r="V9" i="8" s="1"/>
  <c r="V49" i="5"/>
  <c r="R41" i="4"/>
  <c r="R43" i="4" s="1"/>
  <c r="Y31" i="7"/>
  <c r="Y12" i="5" s="1"/>
  <c r="Y96" i="5" s="1"/>
  <c r="Y115" i="5" s="1"/>
  <c r="Y22" i="7"/>
  <c r="X17" i="5"/>
  <c r="G3" i="13" s="1"/>
  <c r="V121" i="5" l="1"/>
  <c r="G4" i="13"/>
  <c r="G41" i="13"/>
  <c r="H44" i="13"/>
  <c r="G42" i="13"/>
  <c r="G43" i="13"/>
  <c r="R44" i="4"/>
  <c r="U128" i="4"/>
  <c r="U140" i="4" s="1"/>
  <c r="Z19" i="7"/>
  <c r="Z21" i="7" s="1"/>
  <c r="W78" i="5" a="1"/>
  <c r="W57" i="5"/>
  <c r="W117" i="5" s="1"/>
  <c r="W116" i="5" s="1"/>
  <c r="W118" i="5" s="1"/>
  <c r="W35" i="5"/>
  <c r="W42" i="5" s="1"/>
  <c r="W44" i="5" s="1"/>
  <c r="X33" i="5"/>
  <c r="Y17" i="5"/>
  <c r="Y40" i="5"/>
  <c r="U73" i="4"/>
  <c r="U63" i="4" s="1"/>
  <c r="U70" i="4" s="1"/>
  <c r="U10" i="4" s="1"/>
  <c r="Y77" i="5"/>
  <c r="V51" i="5"/>
  <c r="W120" i="5" l="1"/>
  <c r="W129" i="5" s="1"/>
  <c r="W104" i="5"/>
  <c r="W105" i="5" s="1"/>
  <c r="W119" i="5"/>
  <c r="X78" i="5" a="1"/>
  <c r="X57" i="5"/>
  <c r="X117" i="5" s="1"/>
  <c r="X116" i="5" s="1"/>
  <c r="N126" i="5" s="1"/>
  <c r="G9" i="13"/>
  <c r="G7" i="13" s="1"/>
  <c r="G14" i="13" s="1"/>
  <c r="G16" i="13" s="1"/>
  <c r="X35" i="5"/>
  <c r="X42" i="5" s="1"/>
  <c r="W78" i="5"/>
  <c r="W86" i="5" s="1"/>
  <c r="Y33" i="5"/>
  <c r="U146" i="4"/>
  <c r="U11" i="4" s="1"/>
  <c r="U47" i="4" s="1"/>
  <c r="U49" i="4" s="1"/>
  <c r="U50" i="4" s="1"/>
  <c r="X9" i="8" s="1"/>
  <c r="W49" i="5"/>
  <c r="X44" i="5"/>
  <c r="V53" i="5"/>
  <c r="V106" i="5" s="1"/>
  <c r="V130" i="5" s="1"/>
  <c r="V131" i="5" s="1"/>
  <c r="Z31" i="7"/>
  <c r="Z12" i="5" s="1"/>
  <c r="Z96" i="5" s="1"/>
  <c r="Z115" i="5" s="1"/>
  <c r="W121" i="5" l="1"/>
  <c r="X118" i="5"/>
  <c r="S126" i="5" s="1"/>
  <c r="X126" i="5"/>
  <c r="V107" i="5"/>
  <c r="X119" i="5"/>
  <c r="G29" i="13"/>
  <c r="G38" i="13"/>
  <c r="G19" i="13"/>
  <c r="Z22" i="7"/>
  <c r="AA19" i="7" s="1"/>
  <c r="AA21" i="7" s="1"/>
  <c r="W51" i="5"/>
  <c r="X51" i="5" s="1"/>
  <c r="G20" i="13" s="1"/>
  <c r="X49" i="5"/>
  <c r="V73" i="4"/>
  <c r="V63" i="4" s="1"/>
  <c r="V70" i="4" s="1"/>
  <c r="V10" i="4" s="1"/>
  <c r="Z17" i="5"/>
  <c r="Z77" i="5"/>
  <c r="Z40" i="5"/>
  <c r="U6" i="8"/>
  <c r="U10" i="8" s="1"/>
  <c r="U25" i="8" s="1"/>
  <c r="U26" i="8" s="1"/>
  <c r="V54" i="5"/>
  <c r="S38" i="4"/>
  <c r="Y57" i="5"/>
  <c r="Y117" i="5" s="1"/>
  <c r="Y116" i="5" s="1"/>
  <c r="Y118" i="5" s="1"/>
  <c r="Y78" i="5" a="1"/>
  <c r="Y35" i="5"/>
  <c r="Y42" i="5" s="1"/>
  <c r="Y44" i="5" s="1"/>
  <c r="X78" i="5"/>
  <c r="X86" i="5" s="1"/>
  <c r="V128" i="4" l="1"/>
  <c r="V140" i="4" s="1"/>
  <c r="Y120" i="5"/>
  <c r="Y129" i="5" s="1"/>
  <c r="X120" i="5"/>
  <c r="G21" i="13"/>
  <c r="G48" i="13" s="1"/>
  <c r="X104" i="5"/>
  <c r="S112" i="5" s="1"/>
  <c r="Y104" i="5"/>
  <c r="Y105" i="5" s="1"/>
  <c r="Y119" i="5"/>
  <c r="W53" i="5"/>
  <c r="V24" i="8"/>
  <c r="S8" i="4"/>
  <c r="S22" i="4" s="1"/>
  <c r="AA31" i="7"/>
  <c r="AA12" i="5" s="1"/>
  <c r="AA96" i="5" s="1"/>
  <c r="AA115" i="5" s="1"/>
  <c r="Y49" i="5"/>
  <c r="Y78" i="5"/>
  <c r="Y86" i="5" s="1"/>
  <c r="S41" i="4"/>
  <c r="S43" i="4" s="1"/>
  <c r="Z33" i="5"/>
  <c r="V146" i="4"/>
  <c r="V11" i="4" s="1"/>
  <c r="V47" i="4" s="1"/>
  <c r="V49" i="4" s="1"/>
  <c r="V50" i="4" s="1"/>
  <c r="Y9" i="8" s="1"/>
  <c r="G30" i="13" l="1"/>
  <c r="Y121" i="5"/>
  <c r="AC126" i="5"/>
  <c r="AD126" i="5" s="1"/>
  <c r="X129" i="5"/>
  <c r="X121" i="5"/>
  <c r="X105" i="5"/>
  <c r="X112" i="5"/>
  <c r="X53" i="5"/>
  <c r="X106" i="5" s="1"/>
  <c r="W106" i="5"/>
  <c r="W130" i="5" s="1"/>
  <c r="W131" i="5" s="1"/>
  <c r="T38" i="4"/>
  <c r="T41" i="4" s="1"/>
  <c r="G37" i="13" s="1"/>
  <c r="V6" i="8"/>
  <c r="V10" i="8" s="1"/>
  <c r="V25" i="8" s="1"/>
  <c r="V26" i="8" s="1"/>
  <c r="W54" i="5"/>
  <c r="X54" i="5" s="1"/>
  <c r="Y51" i="5"/>
  <c r="Z57" i="5"/>
  <c r="Z117" i="5" s="1"/>
  <c r="Z116" i="5" s="1"/>
  <c r="Z118" i="5" s="1"/>
  <c r="Z78" i="5" a="1"/>
  <c r="Z35" i="5"/>
  <c r="Z42" i="5" s="1"/>
  <c r="Z44" i="5" s="1"/>
  <c r="AA17" i="5"/>
  <c r="W73" i="4"/>
  <c r="W63" i="4" s="1"/>
  <c r="W70" i="4" s="1"/>
  <c r="W10" i="4" s="1"/>
  <c r="AA40" i="5"/>
  <c r="AA77" i="5"/>
  <c r="AA22" i="7"/>
  <c r="S44" i="4"/>
  <c r="AC112" i="5" l="1"/>
  <c r="AD112" i="5" s="1"/>
  <c r="X130" i="5"/>
  <c r="X131" i="5" s="1"/>
  <c r="Z120" i="5"/>
  <c r="Z129" i="5" s="1"/>
  <c r="Z104" i="5"/>
  <c r="Z105" i="5" s="1"/>
  <c r="W107" i="5"/>
  <c r="X107" i="5"/>
  <c r="Z119" i="5"/>
  <c r="T43" i="4"/>
  <c r="G33" i="13"/>
  <c r="G34" i="13"/>
  <c r="T8" i="4"/>
  <c r="T22" i="4" s="1"/>
  <c r="X24" i="8"/>
  <c r="Z49" i="5"/>
  <c r="Z78" i="5"/>
  <c r="Z86" i="5" s="1"/>
  <c r="W128" i="4"/>
  <c r="W140" i="4" s="1"/>
  <c r="AB19" i="7"/>
  <c r="AB21" i="7" s="1"/>
  <c r="Y53" i="5"/>
  <c r="Y106" i="5" s="1"/>
  <c r="Y130" i="5" s="1"/>
  <c r="Y131" i="5" s="1"/>
  <c r="Z121" i="5" l="1"/>
  <c r="Y107" i="5"/>
  <c r="G50" i="13"/>
  <c r="G49" i="13"/>
  <c r="T44" i="4"/>
  <c r="X6" i="8"/>
  <c r="X10" i="8" s="1"/>
  <c r="X25" i="8" s="1"/>
  <c r="X26" i="8" s="1"/>
  <c r="Y54" i="5"/>
  <c r="U38" i="4"/>
  <c r="Z51" i="5"/>
  <c r="AB31" i="7"/>
  <c r="AB12" i="5" s="1"/>
  <c r="AB96" i="5" s="1"/>
  <c r="AB115" i="5" s="1"/>
  <c r="AA33" i="5"/>
  <c r="W146" i="4"/>
  <c r="W11" i="4" s="1"/>
  <c r="W47" i="4" s="1"/>
  <c r="W49" i="4" s="1"/>
  <c r="W50" i="4" s="1"/>
  <c r="Z9" i="8" s="1"/>
  <c r="AB17" i="5" l="1"/>
  <c r="X73" i="4"/>
  <c r="X63" i="4" s="1"/>
  <c r="X70" i="4" s="1"/>
  <c r="X10" i="4" s="1"/>
  <c r="AB77" i="5"/>
  <c r="AB40" i="5"/>
  <c r="AC40" i="5" s="1"/>
  <c r="H13" i="13" s="1"/>
  <c r="AC12" i="5"/>
  <c r="U41" i="4"/>
  <c r="U43" i="4" s="1"/>
  <c r="Y24" i="8"/>
  <c r="U8" i="4"/>
  <c r="U22" i="4" s="1"/>
  <c r="AB22" i="7"/>
  <c r="X128" i="4" s="1"/>
  <c r="X140" i="4" s="1"/>
  <c r="Z53" i="5"/>
  <c r="AA78" i="5" a="1"/>
  <c r="AA57" i="5"/>
  <c r="AA117" i="5" s="1"/>
  <c r="AA116" i="5" s="1"/>
  <c r="AA118" i="5" s="1"/>
  <c r="AA35" i="5"/>
  <c r="AA42" i="5" s="1"/>
  <c r="AA44" i="5" s="1"/>
  <c r="AA120" i="5" l="1"/>
  <c r="AA129" i="5" s="1"/>
  <c r="V38" i="4"/>
  <c r="V41" i="4" s="1"/>
  <c r="V43" i="4" s="1"/>
  <c r="Z106" i="5"/>
  <c r="Z130" i="5" s="1"/>
  <c r="Z131" i="5" s="1"/>
  <c r="AA104" i="5"/>
  <c r="AA105" i="5" s="1"/>
  <c r="AA119" i="5"/>
  <c r="AA121" i="5"/>
  <c r="AC77" i="5"/>
  <c r="AC96" i="5"/>
  <c r="AC115" i="5" s="1"/>
  <c r="I127" i="5" s="1"/>
  <c r="U44" i="4"/>
  <c r="AA49" i="5"/>
  <c r="AA78" i="5"/>
  <c r="AA86" i="5" s="1"/>
  <c r="Y6" i="8"/>
  <c r="Y10" i="8" s="1"/>
  <c r="Y25" i="8" s="1"/>
  <c r="Y26" i="8" s="1"/>
  <c r="Z54" i="5"/>
  <c r="AB33" i="5"/>
  <c r="X146" i="4"/>
  <c r="X11" i="4" s="1"/>
  <c r="X47" i="4" s="1"/>
  <c r="X49" i="4" s="1"/>
  <c r="X50" i="4" s="1"/>
  <c r="AA9" i="8" s="1"/>
  <c r="AC17" i="5"/>
  <c r="H3" i="13" s="1"/>
  <c r="I44" i="13" s="1"/>
  <c r="Z107" i="5" l="1"/>
  <c r="H4" i="13"/>
  <c r="I4" i="13" s="1"/>
  <c r="H42" i="13"/>
  <c r="H41" i="13"/>
  <c r="H43" i="13"/>
  <c r="V8" i="4"/>
  <c r="V22" i="4" s="1"/>
  <c r="V44" i="4" s="1"/>
  <c r="Z24" i="8"/>
  <c r="AB57" i="5"/>
  <c r="AB117" i="5" s="1"/>
  <c r="AB116" i="5" s="1"/>
  <c r="AB118" i="5" s="1"/>
  <c r="AB78" i="5" a="1"/>
  <c r="AB35" i="5"/>
  <c r="AB42" i="5" s="1"/>
  <c r="AB44" i="5" s="1"/>
  <c r="AC33" i="5"/>
  <c r="AA51" i="5"/>
  <c r="AB120" i="5" l="1"/>
  <c r="AB129" i="5" s="1"/>
  <c r="AB104" i="5"/>
  <c r="AB105" i="5" s="1"/>
  <c r="AB119" i="5"/>
  <c r="K4" i="13"/>
  <c r="AA53" i="5"/>
  <c r="AA106" i="5" s="1"/>
  <c r="AA130" i="5" s="1"/>
  <c r="AA131" i="5" s="1"/>
  <c r="AB49" i="5"/>
  <c r="AC44" i="5"/>
  <c r="AC57" i="5"/>
  <c r="AC117" i="5" s="1"/>
  <c r="AC116" i="5" s="1"/>
  <c r="N127" i="5" s="1"/>
  <c r="AC35" i="5"/>
  <c r="AC42" i="5" s="1"/>
  <c r="AC78" i="5" a="1"/>
  <c r="H9" i="13"/>
  <c r="H7" i="13" s="1"/>
  <c r="H14" i="13" s="1"/>
  <c r="AB78" i="5"/>
  <c r="AB86" i="5" s="1"/>
  <c r="AB121" i="5" l="1"/>
  <c r="AC118" i="5"/>
  <c r="S127" i="5" s="1"/>
  <c r="X127" i="5"/>
  <c r="AA107" i="5"/>
  <c r="H16" i="13"/>
  <c r="I16" i="13" s="1"/>
  <c r="K14" i="13"/>
  <c r="AB51" i="5"/>
  <c r="AC51" i="5" s="1"/>
  <c r="H20" i="13" s="1"/>
  <c r="AC49" i="5"/>
  <c r="Z6" i="8"/>
  <c r="Z10" i="8" s="1"/>
  <c r="Z25" i="8" s="1"/>
  <c r="Z26" i="8" s="1"/>
  <c r="AA54" i="5"/>
  <c r="W38" i="4"/>
  <c r="AC78" i="5"/>
  <c r="AC86" i="5" s="1"/>
  <c r="AC119" i="5" l="1"/>
  <c r="AC104" i="5"/>
  <c r="S113" i="5" s="1"/>
  <c r="AC120" i="5"/>
  <c r="J16" i="13"/>
  <c r="AC105" i="5"/>
  <c r="X113" i="5"/>
  <c r="H19" i="13"/>
  <c r="K19" i="13" s="1"/>
  <c r="H38" i="13"/>
  <c r="K16" i="13"/>
  <c r="H29" i="13"/>
  <c r="AB53" i="5"/>
  <c r="AB54" i="5" s="1"/>
  <c r="AC54" i="5" s="1"/>
  <c r="W41" i="4"/>
  <c r="W43" i="4" s="1"/>
  <c r="AA24" i="8"/>
  <c r="W8" i="4"/>
  <c r="W22" i="4" s="1"/>
  <c r="AC121" i="5" l="1"/>
  <c r="AC127" i="5"/>
  <c r="AD127" i="5" s="1"/>
  <c r="AC129" i="5"/>
  <c r="X38" i="4"/>
  <c r="X41" i="4" s="1"/>
  <c r="H37" i="13" s="1"/>
  <c r="H21" i="13"/>
  <c r="I21" i="13" s="1"/>
  <c r="AC53" i="5"/>
  <c r="AC106" i="5" s="1"/>
  <c r="AB106" i="5"/>
  <c r="AB130" i="5" s="1"/>
  <c r="AB131" i="5" s="1"/>
  <c r="AA6" i="8"/>
  <c r="AA10" i="8" s="1"/>
  <c r="AA25" i="8" s="1"/>
  <c r="AA26" i="8" s="1"/>
  <c r="C28" i="8" s="1"/>
  <c r="W44" i="4"/>
  <c r="X43" i="4" l="1"/>
  <c r="H33" i="13"/>
  <c r="AC113" i="5"/>
  <c r="AD113" i="5" s="1"/>
  <c r="AC130" i="5"/>
  <c r="AC131" i="5" s="1"/>
  <c r="H34" i="13"/>
  <c r="K21" i="13"/>
  <c r="H48" i="13"/>
  <c r="H30" i="13"/>
  <c r="AB107" i="5"/>
  <c r="AC107" i="5"/>
  <c r="X8" i="4"/>
  <c r="X22" i="4" s="1"/>
  <c r="X44" i="4" l="1"/>
  <c r="H50" i="13"/>
  <c r="H49" i="13"/>
  <c r="AC91" i="5" s="1"/>
  <c r="R91" i="5" s="1"/>
  <c r="R90" i="5" s="1"/>
  <c r="N89" i="5" s="1"/>
  <c r="N87" i="5" s="1"/>
  <c r="M91" i="5" s="1"/>
  <c r="L91" i="5" s="1"/>
  <c r="L90" i="5" s="1"/>
  <c r="L89" i="5" s="1"/>
  <c r="L88" i="5" s="1"/>
  <c r="L87" i="5" s="1"/>
  <c r="L92" i="5" s="1"/>
  <c r="L93" i="5" s="1"/>
  <c r="K91" i="5" s="1"/>
  <c r="H90" i="5" s="1"/>
  <c r="G90" i="5" s="1"/>
  <c r="G88" i="5" s="1"/>
  <c r="AC73" i="5" s="1"/>
  <c r="AC72" i="5" s="1"/>
  <c r="AC71" i="5" s="1"/>
  <c r="AC70" i="5" s="1"/>
  <c r="AC69" i="5" s="1"/>
  <c r="AC74" i="5" s="1"/>
  <c r="AB73" i="5" s="1"/>
  <c r="AB72" i="5" s="1"/>
  <c r="AB71" i="5" s="1"/>
  <c r="AA73" i="5" s="1"/>
  <c r="AA72" i="5" s="1"/>
  <c r="Y73" i="5" s="1"/>
  <c r="Y72" i="5" s="1"/>
  <c r="Y71" i="5" s="1"/>
  <c r="Y70" i="5" s="1"/>
  <c r="X73" i="5" s="1"/>
  <c r="X72" i="5" s="1"/>
  <c r="X71" i="5" s="1"/>
  <c r="W73" i="5" s="1"/>
  <c r="V73" i="5" s="1"/>
  <c r="U73" i="5" s="1"/>
  <c r="U72" i="5" s="1"/>
  <c r="U71" i="5" s="1"/>
  <c r="U70" i="5" s="1"/>
  <c r="T73" i="5" s="1"/>
  <c r="T72" i="5" s="1"/>
  <c r="T71" i="5" s="1"/>
  <c r="S73" i="5" s="1"/>
  <c r="S72" i="5" s="1"/>
  <c r="R73" i="5" s="1"/>
  <c r="Q73" i="5" s="1"/>
  <c r="Q72" i="5" s="1"/>
  <c r="Q71" i="5" s="1"/>
  <c r="Q70" i="5" s="1"/>
  <c r="P73" i="5" s="1"/>
  <c r="P72" i="5" s="1"/>
  <c r="P71" i="5" s="1"/>
  <c r="O73" i="5" s="1"/>
  <c r="N72" i="5" s="1"/>
  <c r="N70" i="5" s="1"/>
  <c r="M73" i="5" s="1"/>
  <c r="M72" i="5" s="1"/>
  <c r="M71" i="5" s="1"/>
  <c r="M70" i="5" s="1"/>
  <c r="L72" i="5" s="1"/>
  <c r="K72" i="5" s="1"/>
  <c r="I71" i="5" s="1"/>
  <c r="H73" i="5" s="1"/>
  <c r="H72" i="5" s="1"/>
  <c r="H71" i="5" s="1"/>
  <c r="G72" i="5" s="1"/>
  <c r="F69" i="5" s="1"/>
  <c r="H70" i="5" l="1"/>
  <c r="H69" i="5" s="1"/>
  <c r="H74" i="5" s="1"/>
  <c r="M69" i="5"/>
  <c r="M74" i="5" s="1"/>
  <c r="N91" i="5" s="1"/>
  <c r="N90" i="5" s="1"/>
  <c r="N88" i="5" s="1"/>
  <c r="J91" i="5" s="1"/>
  <c r="J90" i="5" s="1"/>
  <c r="J89" i="5" s="1"/>
  <c r="J88" i="5" s="1"/>
  <c r="J87" i="5" s="1"/>
  <c r="J92" i="5" s="1"/>
  <c r="J93" i="5" s="1"/>
  <c r="I91" i="5" s="1"/>
  <c r="I90" i="5" s="1"/>
  <c r="I89" i="5" s="1"/>
  <c r="I88" i="5" s="1"/>
  <c r="I87" i="5" s="1"/>
  <c r="I92" i="5" s="1"/>
  <c r="I93" i="5" s="1"/>
  <c r="H91" i="5" s="1"/>
  <c r="G91" i="5" s="1"/>
  <c r="G89" i="5" s="1"/>
  <c r="N73" i="5" s="1"/>
  <c r="N71" i="5" s="1"/>
  <c r="L73" i="5" s="1"/>
  <c r="K73" i="5" s="1"/>
  <c r="I73" i="5" s="1"/>
  <c r="I72" i="5" s="1"/>
  <c r="G73" i="5" s="1"/>
  <c r="F73" i="5" s="1"/>
  <c r="F72" i="5" s="1"/>
  <c r="F71" i="5" s="1"/>
  <c r="F70" i="5" s="1"/>
  <c r="E73" i="5" s="1"/>
  <c r="E72" i="5" s="1"/>
  <c r="E71" i="5" s="1"/>
  <c r="E70" i="5" s="1"/>
  <c r="E69" i="5" s="1"/>
  <c r="E74" i="5" s="1"/>
  <c r="U69" i="5"/>
  <c r="U74" i="5" s="1"/>
  <c r="I70" i="5"/>
  <c r="L71" i="5"/>
  <c r="N69" i="5"/>
  <c r="N74" i="5" s="1"/>
  <c r="O72" i="5"/>
  <c r="W72" i="5"/>
  <c r="G87" i="5"/>
  <c r="G92" i="5" s="1"/>
  <c r="G93" i="5" s="1"/>
  <c r="S98" i="5"/>
  <c r="S99" i="5" s="1"/>
  <c r="S88" i="5"/>
  <c r="P70" i="5"/>
  <c r="P69" i="5" s="1"/>
  <c r="P74" i="5" s="1"/>
  <c r="X70" i="5"/>
  <c r="X69" i="5" s="1"/>
  <c r="X74" i="5" s="1"/>
  <c r="N98" i="5"/>
  <c r="N99" i="5" s="1"/>
  <c r="V98" i="5"/>
  <c r="V99" i="5" s="1"/>
  <c r="V88" i="5"/>
  <c r="N92" i="5"/>
  <c r="N93" i="5" s="1"/>
  <c r="G71" i="5"/>
  <c r="G70" i="5" s="1"/>
  <c r="G69" i="5" s="1"/>
  <c r="R72" i="5"/>
  <c r="R71" i="5" s="1"/>
  <c r="R70" i="5" s="1"/>
  <c r="R69" i="5" s="1"/>
  <c r="R74" i="5" s="1"/>
  <c r="P98" i="5"/>
  <c r="P99" i="5" s="1"/>
  <c r="P88" i="5"/>
  <c r="X88" i="5"/>
  <c r="X98" i="5"/>
  <c r="X99" i="5" s="1"/>
  <c r="I69" i="5"/>
  <c r="L70" i="5"/>
  <c r="L69" i="5" s="1"/>
  <c r="L74" i="5" s="1"/>
  <c r="O71" i="5"/>
  <c r="O70" i="5" s="1"/>
  <c r="O69" i="5" s="1"/>
  <c r="W71" i="5"/>
  <c r="W70" i="5" s="1"/>
  <c r="W69" i="5" s="1"/>
  <c r="U98" i="5"/>
  <c r="U99" i="5" s="1"/>
  <c r="U88" i="5"/>
  <c r="AC98" i="5"/>
  <c r="AC99" i="5" s="1"/>
  <c r="AC88" i="5"/>
  <c r="AA98" i="5"/>
  <c r="AA99" i="5" s="1"/>
  <c r="AA88" i="5"/>
  <c r="T70" i="5"/>
  <c r="T69" i="5" s="1"/>
  <c r="T74" i="5" s="1"/>
  <c r="AB70" i="5"/>
  <c r="AB69" i="5" s="1"/>
  <c r="AB74" i="5" s="1"/>
  <c r="H89" i="5"/>
  <c r="H88" i="5" s="1"/>
  <c r="H87" i="5" s="1"/>
  <c r="H92" i="5" s="1"/>
  <c r="H93" i="5" s="1"/>
  <c r="K90" i="5"/>
  <c r="K89" i="5" s="1"/>
  <c r="K88" i="5" s="1"/>
  <c r="K87" i="5" s="1"/>
  <c r="K92" i="5" s="1"/>
  <c r="K93" i="5" s="1"/>
  <c r="R98" i="5"/>
  <c r="R99" i="5" s="1"/>
  <c r="R88" i="5"/>
  <c r="Z98" i="5"/>
  <c r="Z99" i="5" s="1"/>
  <c r="Z88" i="5"/>
  <c r="Q69" i="5"/>
  <c r="Q74" i="5" s="1"/>
  <c r="Y69" i="5"/>
  <c r="Y74" i="5" s="1"/>
  <c r="O98" i="5"/>
  <c r="O99" i="5" s="1"/>
  <c r="O88" i="5"/>
  <c r="W98" i="5"/>
  <c r="W99" i="5" s="1"/>
  <c r="W88" i="5"/>
  <c r="K71" i="5"/>
  <c r="K70" i="5" s="1"/>
  <c r="K69" i="5" s="1"/>
  <c r="K74" i="5" s="1"/>
  <c r="J73" i="5" s="1"/>
  <c r="J72" i="5" s="1"/>
  <c r="J71" i="5" s="1"/>
  <c r="J70" i="5" s="1"/>
  <c r="J69" i="5" s="1"/>
  <c r="J74" i="5" s="1"/>
  <c r="V72" i="5"/>
  <c r="V71" i="5" s="1"/>
  <c r="V70" i="5" s="1"/>
  <c r="V69" i="5" s="1"/>
  <c r="V74" i="5" s="1"/>
  <c r="M90" i="5"/>
  <c r="M89" i="5" s="1"/>
  <c r="M88" i="5" s="1"/>
  <c r="M87" i="5" s="1"/>
  <c r="M92" i="5" s="1"/>
  <c r="M93" i="5" s="1"/>
  <c r="T98" i="5"/>
  <c r="T99" i="5" s="1"/>
  <c r="T88" i="5"/>
  <c r="AB98" i="5"/>
  <c r="AB99" i="5" s="1"/>
  <c r="AB88" i="5"/>
  <c r="AC90" i="5"/>
  <c r="AC89" i="5" s="1"/>
  <c r="AC87" i="5" s="1"/>
  <c r="S71" i="5"/>
  <c r="S70" i="5" s="1"/>
  <c r="S69" i="5" s="1"/>
  <c r="S74" i="5" s="1"/>
  <c r="AA71" i="5"/>
  <c r="AA70" i="5" s="1"/>
  <c r="AA69" i="5" s="1"/>
  <c r="AA74" i="5" s="1"/>
  <c r="Z73" i="5" s="1"/>
  <c r="Z72" i="5" s="1"/>
  <c r="Z71" i="5" s="1"/>
  <c r="Z70" i="5" s="1"/>
  <c r="Z69" i="5" s="1"/>
  <c r="Z74" i="5" s="1"/>
  <c r="I98" i="5"/>
  <c r="I99" i="5" s="1"/>
  <c r="Q98" i="5"/>
  <c r="Q99" i="5" s="1"/>
  <c r="Q88" i="5"/>
  <c r="R89" i="5"/>
  <c r="R87" i="5" s="1"/>
  <c r="Y98" i="5"/>
  <c r="Y99" i="5" s="1"/>
  <c r="Y88" i="5"/>
  <c r="W74" i="5" l="1"/>
  <c r="O74" i="5"/>
  <c r="I74" i="5"/>
  <c r="G74" i="5"/>
  <c r="F74" i="5"/>
  <c r="Q91" i="5"/>
  <c r="Q90" i="5" s="1"/>
  <c r="Q89" i="5" s="1"/>
  <c r="Q87" i="5" s="1"/>
  <c r="R92" i="5"/>
  <c r="R93" i="5" s="1"/>
  <c r="AB91" i="5"/>
  <c r="AB90" i="5" s="1"/>
  <c r="AB89" i="5" s="1"/>
  <c r="AB87" i="5" s="1"/>
  <c r="AC92" i="5"/>
  <c r="AC93" i="5" s="1"/>
  <c r="AA91" i="5" l="1"/>
  <c r="AA90" i="5" s="1"/>
  <c r="AA89" i="5" s="1"/>
  <c r="AA87" i="5" s="1"/>
  <c r="AB92" i="5"/>
  <c r="AB93" i="5" s="1"/>
  <c r="P91" i="5"/>
  <c r="P90" i="5" s="1"/>
  <c r="P89" i="5" s="1"/>
  <c r="P87" i="5" s="1"/>
  <c r="Q92" i="5"/>
  <c r="Q93" i="5" s="1"/>
  <c r="O91" i="5" l="1"/>
  <c r="O90" i="5" s="1"/>
  <c r="O89" i="5" s="1"/>
  <c r="O87" i="5" s="1"/>
  <c r="O92" i="5" s="1"/>
  <c r="O93" i="5" s="1"/>
  <c r="P92" i="5"/>
  <c r="P93" i="5" s="1"/>
  <c r="Z91" i="5"/>
  <c r="Z90" i="5" s="1"/>
  <c r="Z89" i="5" s="1"/>
  <c r="Z87" i="5" s="1"/>
  <c r="AA92" i="5"/>
  <c r="AA93" i="5" s="1"/>
  <c r="Y91" i="5" l="1"/>
  <c r="Y90" i="5" s="1"/>
  <c r="Y89" i="5" s="1"/>
  <c r="Y87" i="5" s="1"/>
  <c r="Z92" i="5"/>
  <c r="Z93" i="5" s="1"/>
  <c r="X91" i="5" l="1"/>
  <c r="X90" i="5" s="1"/>
  <c r="X89" i="5" s="1"/>
  <c r="X87" i="5" s="1"/>
  <c r="Y92" i="5"/>
  <c r="Y93" i="5" s="1"/>
  <c r="W91" i="5" l="1"/>
  <c r="W90" i="5" s="1"/>
  <c r="W89" i="5" s="1"/>
  <c r="W87" i="5" s="1"/>
  <c r="X92" i="5"/>
  <c r="X93" i="5" s="1"/>
  <c r="V91" i="5" l="1"/>
  <c r="V90" i="5" s="1"/>
  <c r="V89" i="5" s="1"/>
  <c r="V87" i="5" s="1"/>
  <c r="W92" i="5"/>
  <c r="W93" i="5" s="1"/>
  <c r="U91" i="5" l="1"/>
  <c r="U90" i="5" s="1"/>
  <c r="U89" i="5" s="1"/>
  <c r="U87" i="5" s="1"/>
  <c r="V92" i="5"/>
  <c r="V93" i="5" s="1"/>
  <c r="T91" i="5" l="1"/>
  <c r="T90" i="5" s="1"/>
  <c r="T89" i="5" s="1"/>
  <c r="T87" i="5" s="1"/>
  <c r="U92" i="5"/>
  <c r="U93" i="5" s="1"/>
  <c r="S91" i="5" l="1"/>
  <c r="S90" i="5" s="1"/>
  <c r="S89" i="5" s="1"/>
  <c r="S87" i="5" s="1"/>
  <c r="S92" i="5" s="1"/>
  <c r="S93" i="5" s="1"/>
  <c r="T92" i="5"/>
  <c r="T9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Sparrow Advisory</author>
  </authors>
  <commentList>
    <comment ref="N6" authorId="0" shapeId="0" xr:uid="{9294C261-3906-4EAF-BAC5-F56B31931ED3}">
      <text>
        <r>
          <rPr>
            <b/>
            <sz val="9"/>
            <color indexed="81"/>
            <rFont val="Tahoma"/>
            <family val="2"/>
          </rPr>
          <t>Sparrow Advisory:</t>
        </r>
        <r>
          <rPr>
            <sz val="9"/>
            <color indexed="81"/>
            <rFont val="Tahoma"/>
            <family val="2"/>
          </rPr>
          <t xml:space="preserve">
for every 1 kg of strach = 0.5682393 of ethanol produce.</t>
        </r>
      </text>
    </comment>
    <comment ref="D14" authorId="0" shapeId="0" xr:uid="{3418E6EC-E54A-450F-96C2-D06C61025C91}">
      <text>
        <r>
          <rPr>
            <b/>
            <sz val="9"/>
            <color indexed="81"/>
            <rFont val="Tahoma"/>
            <family val="2"/>
          </rPr>
          <t>Sparrow Advisory:</t>
        </r>
        <r>
          <rPr>
            <sz val="9"/>
            <color indexed="81"/>
            <rFont val="Tahoma"/>
            <family val="2"/>
          </rPr>
          <t xml:space="preserve">
for 1 ton of grain , 240kg of DDGS produce.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<sst xmlns="http://schemas.openxmlformats.org/spreadsheetml/2006/main" count="904" uniqueCount="601">
  <si>
    <t>Ethanol</t>
  </si>
  <si>
    <t>Operational days</t>
  </si>
  <si>
    <t>1 ton</t>
  </si>
  <si>
    <t>Corn(Grain)</t>
  </si>
  <si>
    <t>Value</t>
  </si>
  <si>
    <t>Starch Content (%)</t>
  </si>
  <si>
    <t>Fermentation Efficiency (%)</t>
  </si>
  <si>
    <t>Liqification effecency  (%)</t>
  </si>
  <si>
    <t>Step</t>
  </si>
  <si>
    <t>Weight ratio (Ethanol to Starch)</t>
  </si>
  <si>
    <t>Theoretical Yield of Ethanol (kg)</t>
  </si>
  <si>
    <t>Actual Yield of Ethanol (kg)</t>
  </si>
  <si>
    <t>Actual Yield of Ethanol (liters)</t>
  </si>
  <si>
    <t>Production of ethanol</t>
  </si>
  <si>
    <t>Ethanol produce</t>
  </si>
  <si>
    <t>Sugar</t>
  </si>
  <si>
    <t>Total sugarcane crushed</t>
  </si>
  <si>
    <t xml:space="preserve">Sugar recovery </t>
  </si>
  <si>
    <t>per quintal cane</t>
  </si>
  <si>
    <t>Sugar rate</t>
  </si>
  <si>
    <t>per kg</t>
  </si>
  <si>
    <t>Sugar Revenue</t>
  </si>
  <si>
    <t>Molasses</t>
  </si>
  <si>
    <t>Molasses Recovery</t>
  </si>
  <si>
    <t>Molasses rate</t>
  </si>
  <si>
    <t>Power Generation</t>
  </si>
  <si>
    <t>MW</t>
  </si>
  <si>
    <t>Power Generated</t>
  </si>
  <si>
    <t>Captive consumption</t>
  </si>
  <si>
    <t>Capacity</t>
  </si>
  <si>
    <t>liters</t>
  </si>
  <si>
    <t>liters/ton</t>
  </si>
  <si>
    <t>Crore/quintal</t>
  </si>
  <si>
    <t>Sugarcane procument cost</t>
  </si>
  <si>
    <t>Cost for 1 MW</t>
  </si>
  <si>
    <t>Rs..</t>
  </si>
  <si>
    <t>DDGS</t>
  </si>
  <si>
    <t>Produce</t>
  </si>
  <si>
    <t>per ton</t>
  </si>
  <si>
    <t xml:space="preserve">Sell of DDGS </t>
  </si>
  <si>
    <t>kg/ton</t>
  </si>
  <si>
    <t>Sale value</t>
  </si>
  <si>
    <t>Starch content</t>
  </si>
  <si>
    <t>days</t>
  </si>
  <si>
    <t>Sell of ethanol</t>
  </si>
  <si>
    <t>Total sale value</t>
  </si>
  <si>
    <t>per liter</t>
  </si>
  <si>
    <t>lakhs quintal/year</t>
  </si>
  <si>
    <t>ton/year</t>
  </si>
  <si>
    <t>per qunital of cane</t>
  </si>
  <si>
    <t xml:space="preserve"> </t>
  </si>
  <si>
    <t>Predefined price</t>
  </si>
  <si>
    <t>per unit</t>
  </si>
  <si>
    <t>For Selling</t>
  </si>
  <si>
    <t>Units</t>
  </si>
  <si>
    <t>Baggas</t>
  </si>
  <si>
    <t>Enthonol Production</t>
  </si>
  <si>
    <t>DDGS Production</t>
  </si>
  <si>
    <t>Column counter</t>
  </si>
  <si>
    <t>Production quaterly</t>
  </si>
  <si>
    <t>No..of days of operation(days)</t>
  </si>
  <si>
    <t>Fermentation effeciency</t>
  </si>
  <si>
    <t>Starch Percentage</t>
  </si>
  <si>
    <t>KLD</t>
  </si>
  <si>
    <t>Plant Capacity Ethonol</t>
  </si>
  <si>
    <t>Corn Consumpton</t>
  </si>
  <si>
    <t>Starch</t>
  </si>
  <si>
    <t>Mix</t>
  </si>
  <si>
    <t>Starch required</t>
  </si>
  <si>
    <t>Sugar Production</t>
  </si>
  <si>
    <t>Sugarcane processed</t>
  </si>
  <si>
    <t>Sugar recovery/production</t>
  </si>
  <si>
    <t>GROSS SALES:</t>
  </si>
  <si>
    <t>a. Sale of products</t>
  </si>
  <si>
    <t>i)</t>
  </si>
  <si>
    <t>Sale of Sugar</t>
  </si>
  <si>
    <t>ii)</t>
  </si>
  <si>
    <t>Sale of Molasess</t>
  </si>
  <si>
    <t>iii)</t>
  </si>
  <si>
    <t>Sale of Biomass Press Mud</t>
  </si>
  <si>
    <t>iv)</t>
  </si>
  <si>
    <t>Sale of Press Mud</t>
  </si>
  <si>
    <t>v)</t>
  </si>
  <si>
    <t>Sale of Ethanol</t>
  </si>
  <si>
    <t>b. Sale of Services</t>
  </si>
  <si>
    <t>Sale of MAEQ Quota</t>
  </si>
  <si>
    <t>Commission Earned on Export of Sugar</t>
  </si>
  <si>
    <t>Deemed Export of Molassas</t>
  </si>
  <si>
    <t>c. Sale of Power</t>
  </si>
  <si>
    <t>d. Gross Sales (a + b + c)</t>
  </si>
  <si>
    <t>Price per Kg</t>
  </si>
  <si>
    <t>DDGS Sale value</t>
  </si>
  <si>
    <t>Molasses Sale value</t>
  </si>
  <si>
    <t>Rate</t>
  </si>
  <si>
    <t>Ethanol sale value</t>
  </si>
  <si>
    <t>Rs</t>
  </si>
  <si>
    <t>Other Income</t>
  </si>
  <si>
    <t>Operating Cost</t>
  </si>
  <si>
    <t>Cost of Raw Materials Consumed</t>
  </si>
  <si>
    <t>Purchase of Stock in Trade</t>
  </si>
  <si>
    <t>Changes in Inventories</t>
  </si>
  <si>
    <t xml:space="preserve">Other Direct Mfg. Expenses </t>
  </si>
  <si>
    <t>Depreciation</t>
  </si>
  <si>
    <t>Employee Benefit Expenses</t>
  </si>
  <si>
    <t>Other Selling, General &amp; Administrative Exp.</t>
  </si>
  <si>
    <t>Total Cost</t>
  </si>
  <si>
    <t>less: interest</t>
  </si>
  <si>
    <t>PBT</t>
  </si>
  <si>
    <t>less: tax</t>
  </si>
  <si>
    <t>PAT</t>
  </si>
  <si>
    <t>Current Assets</t>
  </si>
  <si>
    <t>Cash and bank balances</t>
  </si>
  <si>
    <t>Investments (other than long term invt.)</t>
  </si>
  <si>
    <t>Trade Receiveables</t>
  </si>
  <si>
    <t>Inventories</t>
  </si>
  <si>
    <t>Advaces to suppliers</t>
  </si>
  <si>
    <t>Advance Payment of Taxes / TDS</t>
  </si>
  <si>
    <t>Subsidy Receivable</t>
  </si>
  <si>
    <t>Other Current Assets (including TDS &amp; Adv Tax)</t>
  </si>
  <si>
    <t>Non-Current Assets</t>
  </si>
  <si>
    <t>Total Assets</t>
  </si>
  <si>
    <t>Liabilties</t>
  </si>
  <si>
    <t>Short-term borrowings from Banks</t>
  </si>
  <si>
    <t>Short term borrowings from others</t>
  </si>
  <si>
    <t>Dividend payable</t>
  </si>
  <si>
    <t>Other Current Liabilities &amp; Provisions</t>
  </si>
  <si>
    <t>Non-Current liabilities</t>
  </si>
  <si>
    <t>Deferred Tax Liability</t>
  </si>
  <si>
    <t xml:space="preserve">Other term liabilities </t>
  </si>
  <si>
    <t>Total Liabilities</t>
  </si>
  <si>
    <t>Equity</t>
  </si>
  <si>
    <t>Share Capital</t>
  </si>
  <si>
    <t>General Reserve</t>
  </si>
  <si>
    <t>Capital Redemption Reserve</t>
  </si>
  <si>
    <r>
      <t>Other Reserve</t>
    </r>
    <r>
      <rPr>
        <b/>
        <sz val="10"/>
        <rFont val="Times New Roman"/>
        <family val="1"/>
      </rPr>
      <t xml:space="preserve"> - Share Premium</t>
    </r>
  </si>
  <si>
    <t>Surplus (+) or deficit (-) in Profit &amp; Loss A/c</t>
  </si>
  <si>
    <t>Total Equity and Liability</t>
  </si>
  <si>
    <t>Accounts payables</t>
  </si>
  <si>
    <t>Long term Debt obligations</t>
  </si>
  <si>
    <t>Total Equity</t>
  </si>
  <si>
    <t>2021 - 22</t>
  </si>
  <si>
    <t>2022 - 23</t>
  </si>
  <si>
    <t>2023 - 24</t>
  </si>
  <si>
    <t>Other Non-Current assets</t>
  </si>
  <si>
    <t>Investments in subsidiary companies/</t>
  </si>
  <si>
    <t>Other current liabilities</t>
  </si>
  <si>
    <t>Other Stautory Liabilities (due within one year)</t>
  </si>
  <si>
    <t>Unsecured Loans</t>
  </si>
  <si>
    <t>Advances to Suppliers of Capital goods</t>
  </si>
  <si>
    <t>PARTICULARS</t>
  </si>
  <si>
    <t>2024 - 25</t>
  </si>
  <si>
    <t>2025 - 26</t>
  </si>
  <si>
    <t>2026- 27</t>
  </si>
  <si>
    <t>2027 - 28</t>
  </si>
  <si>
    <t>2028 - 29</t>
  </si>
  <si>
    <t>2029 - 30</t>
  </si>
  <si>
    <t>Audited</t>
  </si>
  <si>
    <t>Estimated</t>
  </si>
  <si>
    <t>FORM-II – OPERATING STATEMENT</t>
  </si>
  <si>
    <t>Total a</t>
  </si>
  <si>
    <t>Total b</t>
  </si>
  <si>
    <t>e. Less : GST</t>
  </si>
  <si>
    <t>Total</t>
  </si>
  <si>
    <t>Other Operating Revenue</t>
  </si>
  <si>
    <t>a</t>
  </si>
  <si>
    <t>Sale of Iron Scrap</t>
  </si>
  <si>
    <t>b</t>
  </si>
  <si>
    <t>Scrap Sales</t>
  </si>
  <si>
    <t>c</t>
  </si>
  <si>
    <t>Buffer Stock Subsidy</t>
  </si>
  <si>
    <t>d</t>
  </si>
  <si>
    <t>Subsidy Received</t>
  </si>
  <si>
    <t>e</t>
  </si>
  <si>
    <t>Discount Received</t>
  </si>
  <si>
    <t>f</t>
  </si>
  <si>
    <t>Creditors W/o</t>
  </si>
  <si>
    <t>Net Sales (1-2)</t>
  </si>
  <si>
    <t>% age rise (+) or fall (-) in net sales</t>
  </si>
  <si>
    <t>as compared to previous year</t>
  </si>
  <si>
    <t>Cost of Sales</t>
  </si>
  <si>
    <t>vi)</t>
  </si>
  <si>
    <t>Sub - Total (I to VI)</t>
  </si>
  <si>
    <t>Sub - Total (5+6)</t>
  </si>
  <si>
    <t>Operating profit before interest (3-7)</t>
  </si>
  <si>
    <t>Interest (on Working Capital &amp; Term Loan)</t>
  </si>
  <si>
    <t>Operating profit after interest (8 - 9)</t>
  </si>
  <si>
    <t>I)</t>
  </si>
  <si>
    <t>Add other non-operating income</t>
  </si>
  <si>
    <t>a)</t>
  </si>
  <si>
    <t>Interest on FDR</t>
  </si>
  <si>
    <t>b)</t>
  </si>
  <si>
    <t>Rent Income</t>
  </si>
  <si>
    <t>c)</t>
  </si>
  <si>
    <t>Sub-total (Income)</t>
  </si>
  <si>
    <t>Deduct other non-operating expenses</t>
  </si>
  <si>
    <t>Sub-total (Expenses)</t>
  </si>
  <si>
    <t>Net of other non-operating income / expenses</t>
  </si>
  <si>
    <t>(net of 11(i) &amp; 11(ii))</t>
  </si>
  <si>
    <t>Profit before tax/loss '10+11(iii)</t>
  </si>
  <si>
    <t>Prov. for Taxes (Incl. Def. Tax &amp; FBT)</t>
  </si>
  <si>
    <t>Net Profit / Loss(12-13)</t>
  </si>
  <si>
    <t xml:space="preserve">a) </t>
  </si>
  <si>
    <t>Equity dividend  paid</t>
  </si>
  <si>
    <t>Dividend Rate</t>
  </si>
  <si>
    <t>Retained profit (14-16)</t>
  </si>
  <si>
    <t>TOTAL ASSETS</t>
  </si>
  <si>
    <t>Intangible Assets</t>
  </si>
  <si>
    <t>TOTAL OTHER NON-CURR.ASSETS</t>
  </si>
  <si>
    <t>Other non-current assets</t>
  </si>
  <si>
    <t>Deferred Tax Asset</t>
  </si>
  <si>
    <t>Others</t>
  </si>
  <si>
    <t>viii)</t>
  </si>
  <si>
    <t>Adv, for Share Subscription</t>
  </si>
  <si>
    <t>vii)</t>
  </si>
  <si>
    <t>Prepaid Expenses</t>
  </si>
  <si>
    <t>Security Deposit</t>
  </si>
  <si>
    <t>Loan to Employees</t>
  </si>
  <si>
    <t>MAT Credit Entitlement</t>
  </si>
  <si>
    <t>affillates</t>
  </si>
  <si>
    <t>i)a)</t>
  </si>
  <si>
    <t>Investments</t>
  </si>
  <si>
    <t>OTHER NON-CURRENT ASSETS</t>
  </si>
  <si>
    <t>NET BLOCK</t>
  </si>
  <si>
    <t>Depreciation to date</t>
  </si>
  <si>
    <t>Capital Work in progress</t>
  </si>
  <si>
    <t>ii</t>
  </si>
  <si>
    <t xml:space="preserve">Gross Block </t>
  </si>
  <si>
    <t>i</t>
  </si>
  <si>
    <t>ASSET</t>
  </si>
  <si>
    <t>TOTAL CURRENT ASSETS</t>
  </si>
  <si>
    <t>Other Current Assets</t>
  </si>
  <si>
    <t>Instalments of deferred receivables</t>
  </si>
  <si>
    <t>Fixed Deposits with Banks</t>
  </si>
  <si>
    <t>Mutual Fund / Other Liquid Investment</t>
  </si>
  <si>
    <t>CURRENT ASSETS</t>
  </si>
  <si>
    <t xml:space="preserve">TOTAL LIABILITIES </t>
  </si>
  <si>
    <t>NET WORTH</t>
  </si>
  <si>
    <t>TOTAL OUTSIDE LIABILITIES</t>
  </si>
  <si>
    <t xml:space="preserve">TOTAL TERM LIABILITIES </t>
  </si>
  <si>
    <t>Term loans from Banks / NBFCs</t>
  </si>
  <si>
    <t>(redeamable after one year)</t>
  </si>
  <si>
    <t xml:space="preserve">Preference Shares </t>
  </si>
  <si>
    <t>Debentures (not maturing within one year)</t>
  </si>
  <si>
    <t>TERM LIABILITIES</t>
  </si>
  <si>
    <t>TOTAL CURRENT LIABILITIES</t>
  </si>
  <si>
    <t>/ debentures, etc.(due within one year)</t>
  </si>
  <si>
    <t>Deposits/instatments of term loans/ DPGs</t>
  </si>
  <si>
    <t>Provision for Income Tax</t>
  </si>
  <si>
    <t>Advance payments from customers</t>
  </si>
  <si>
    <t>Sundry Creditors (Trade)</t>
  </si>
  <si>
    <t>CURRENT LIABILITIES</t>
  </si>
  <si>
    <t>FORM-III–ANALYSIS OF BALANCE SHEET</t>
  </si>
  <si>
    <t>Rs. In Crore</t>
  </si>
  <si>
    <t>ASSESSMENT OF WORKING CAPITAL REQUIREMENT</t>
  </si>
  <si>
    <t>Regd. Office: Bhopal, Madhya Pradesh</t>
  </si>
  <si>
    <t>Mahakaushal Sugar &amp; Power Industries Limited</t>
  </si>
  <si>
    <t>Raw material (sugarcane)</t>
  </si>
  <si>
    <t>Receivable turnover ratio(days) - Ethanol</t>
  </si>
  <si>
    <t>Receivable turnover ratio(days) - Sugar</t>
  </si>
  <si>
    <t>Receivable turnover ratio(days) - DDGS</t>
  </si>
  <si>
    <t>Receivable turnover ratio(days) - Molasses</t>
  </si>
  <si>
    <t>Ethanol Sale</t>
  </si>
  <si>
    <t>DDGS Sale</t>
  </si>
  <si>
    <t>Total Sales</t>
  </si>
  <si>
    <t>Power Cost</t>
  </si>
  <si>
    <t>Add: production</t>
  </si>
  <si>
    <t>Less: Sales</t>
  </si>
  <si>
    <t>Closing Stock</t>
  </si>
  <si>
    <t>Days</t>
  </si>
  <si>
    <t>Ethanol Price Inflation</t>
  </si>
  <si>
    <t>pa</t>
  </si>
  <si>
    <t>DDGS price Inflation</t>
  </si>
  <si>
    <t>Molases production</t>
  </si>
  <si>
    <t>Bagasse production</t>
  </si>
  <si>
    <t>Press Mud Production</t>
  </si>
  <si>
    <t>Suger</t>
  </si>
  <si>
    <t>Bagasse</t>
  </si>
  <si>
    <t>Press Mud</t>
  </si>
  <si>
    <t>Less: Capital Consumption</t>
  </si>
  <si>
    <t>Molasses Price</t>
  </si>
  <si>
    <t>Bagasse Price</t>
  </si>
  <si>
    <t>Press Mud Price</t>
  </si>
  <si>
    <t>Press Mud Sale Value</t>
  </si>
  <si>
    <t>Cost of Suger Cane Plant</t>
  </si>
  <si>
    <t>Cost of Corn Purchase</t>
  </si>
  <si>
    <t>Labour Cost</t>
  </si>
  <si>
    <t>Salary for dedicated Staff</t>
  </si>
  <si>
    <t>per kld</t>
  </si>
  <si>
    <t>Suger Plant</t>
  </si>
  <si>
    <t>Salaries Corporate Employees</t>
  </si>
  <si>
    <t>Sales and marketing Expenses</t>
  </si>
  <si>
    <t>EBITDA</t>
  </si>
  <si>
    <t>Less: Depreciation</t>
  </si>
  <si>
    <t>Receivable turnover ratio(days) - Press Mud</t>
  </si>
  <si>
    <t>Receivable turnover ratio(days) - Bagasse</t>
  </si>
  <si>
    <t>Receivables</t>
  </si>
  <si>
    <t xml:space="preserve"> Ethanol</t>
  </si>
  <si>
    <t xml:space="preserve"> DDGS</t>
  </si>
  <si>
    <t xml:space="preserve"> Sugar</t>
  </si>
  <si>
    <t xml:space="preserve"> Molasses</t>
  </si>
  <si>
    <t xml:space="preserve"> Press Mud</t>
  </si>
  <si>
    <t xml:space="preserve"> Bagasse</t>
  </si>
  <si>
    <t>Power</t>
  </si>
  <si>
    <t>Payables Days</t>
  </si>
  <si>
    <t>Total Payables</t>
  </si>
  <si>
    <t>Inventory</t>
  </si>
  <si>
    <t>Quantity of Closing Stock</t>
  </si>
  <si>
    <t>molasses</t>
  </si>
  <si>
    <t>Value of Closing Stock</t>
  </si>
  <si>
    <t>tons</t>
  </si>
  <si>
    <t>check sum</t>
  </si>
  <si>
    <t>Short Term Loans &amp; Advances</t>
  </si>
  <si>
    <t>Non-current investments</t>
  </si>
  <si>
    <t>Long term loans and advances</t>
  </si>
  <si>
    <t>Short-term borrowings</t>
  </si>
  <si>
    <t>Short-Term Provisions</t>
  </si>
  <si>
    <t>Share application money pending allotment</t>
  </si>
  <si>
    <t>Cash From Operation</t>
  </si>
  <si>
    <t>Net Profits</t>
  </si>
  <si>
    <t>Add: D&amp;A</t>
  </si>
  <si>
    <t xml:space="preserve">Add:interest Cost </t>
  </si>
  <si>
    <t>Change in WC</t>
  </si>
  <si>
    <t>Cash From Investing Activities</t>
  </si>
  <si>
    <t>Cash From Financing Activities</t>
  </si>
  <si>
    <t>Equity Raised/(repaid)</t>
  </si>
  <si>
    <t>Less:Interest on Debt</t>
  </si>
  <si>
    <t>Cash From Financing Activity</t>
  </si>
  <si>
    <t>Cash Schedule</t>
  </si>
  <si>
    <t>Opening Cash Bal</t>
  </si>
  <si>
    <t>Add: Change in Cash during the year</t>
  </si>
  <si>
    <t>Closing Cash Bal</t>
  </si>
  <si>
    <t xml:space="preserve">Opening Cash Balance </t>
  </si>
  <si>
    <t xml:space="preserve">Cash Generated During the year before Debt Infusion </t>
  </si>
  <si>
    <t xml:space="preserve">Minimum Cash Balance Required </t>
  </si>
  <si>
    <t>CA</t>
  </si>
  <si>
    <t>CL</t>
  </si>
  <si>
    <t>NWC</t>
  </si>
  <si>
    <t>Ch. In NWC</t>
  </si>
  <si>
    <t>Debt Raised/(repaid)</t>
  </si>
  <si>
    <t>Fixed Assets</t>
  </si>
  <si>
    <t>Opening Balance</t>
  </si>
  <si>
    <t>Additions</t>
  </si>
  <si>
    <t>Closing Balance</t>
  </si>
  <si>
    <t>Ethanol Plant</t>
  </si>
  <si>
    <t>Interest</t>
  </si>
  <si>
    <t>Closing Debt Balance</t>
  </si>
  <si>
    <t>Debt Schedule Long Term,</t>
  </si>
  <si>
    <t>EMI</t>
  </si>
  <si>
    <t>less: Repaid</t>
  </si>
  <si>
    <t>Coal</t>
  </si>
  <si>
    <t>Electricity produced</t>
  </si>
  <si>
    <t>Production</t>
  </si>
  <si>
    <t>Sugarcane stock</t>
  </si>
  <si>
    <t>Add: cane procured</t>
  </si>
  <si>
    <t>(ton)</t>
  </si>
  <si>
    <t>Total Available</t>
  </si>
  <si>
    <t>Less: Cane crushed</t>
  </si>
  <si>
    <t>Opening Stock</t>
  </si>
  <si>
    <t>Finished Goods</t>
  </si>
  <si>
    <t>Revenue Matrix</t>
  </si>
  <si>
    <t>Raw Material</t>
  </si>
  <si>
    <t>Power Plant</t>
  </si>
  <si>
    <t>Receivable turnover ratio(days) - Power</t>
  </si>
  <si>
    <t>Progress Ethanol Plant</t>
  </si>
  <si>
    <t>Suger and Power Plant</t>
  </si>
  <si>
    <t>Suger and power Plant</t>
  </si>
  <si>
    <t xml:space="preserve">Procurement </t>
  </si>
  <si>
    <t>#</t>
  </si>
  <si>
    <t>Kl</t>
  </si>
  <si>
    <t xml:space="preserve">DDGS </t>
  </si>
  <si>
    <t>Sugar Plant</t>
  </si>
  <si>
    <t>Ethanol plant</t>
  </si>
  <si>
    <t>Payables Amount</t>
  </si>
  <si>
    <t>Total Closing Stock value</t>
  </si>
  <si>
    <t>Sale Sugar Plant</t>
  </si>
  <si>
    <t>FY 25-26</t>
  </si>
  <si>
    <t>FY 26-27</t>
  </si>
  <si>
    <t>FY 27-28</t>
  </si>
  <si>
    <t>FY 28-29</t>
  </si>
  <si>
    <t>FY 29-30</t>
  </si>
  <si>
    <t>Other Cost</t>
  </si>
  <si>
    <t>Change in Inventory</t>
  </si>
  <si>
    <t>Debt- Ethanol Plant</t>
  </si>
  <si>
    <t>Debt WC</t>
  </si>
  <si>
    <t>Debt- Suger Plant</t>
  </si>
  <si>
    <t>Debt -Others</t>
  </si>
  <si>
    <t>Tenure</t>
  </si>
  <si>
    <t>EQI</t>
  </si>
  <si>
    <t>GP Suger</t>
  </si>
  <si>
    <t>GP Ethanol</t>
  </si>
  <si>
    <t>MD and Top Management</t>
  </si>
  <si>
    <t>pm</t>
  </si>
  <si>
    <t>Acounts and Finance</t>
  </si>
  <si>
    <t>Corporate Office</t>
  </si>
  <si>
    <t>Boiler</t>
  </si>
  <si>
    <t>Boiling House</t>
  </si>
  <si>
    <t>Sugercane</t>
  </si>
  <si>
    <t>Civil</t>
  </si>
  <si>
    <t>EDP</t>
  </si>
  <si>
    <t>Electrical</t>
  </si>
  <si>
    <t>Project People</t>
  </si>
  <si>
    <t>Instrumentation</t>
  </si>
  <si>
    <t>Mill House</t>
  </si>
  <si>
    <t>Support Staff</t>
  </si>
  <si>
    <t>Corporate Staff</t>
  </si>
  <si>
    <t>Working Capital</t>
  </si>
  <si>
    <t>Precurement Center Capitalisation</t>
  </si>
  <si>
    <t>Repayment of Debt</t>
  </si>
  <si>
    <t>Sourced from Interal Funds</t>
  </si>
  <si>
    <t>Funding Requirement</t>
  </si>
  <si>
    <t>Total Requirement</t>
  </si>
  <si>
    <t>Ethanol Plant Capitalisation</t>
  </si>
  <si>
    <t>Revenue from Operations</t>
  </si>
  <si>
    <t>Particulars</t>
  </si>
  <si>
    <t>Total Revenue</t>
  </si>
  <si>
    <t>Expenses:</t>
  </si>
  <si>
    <t>Cost of materials consumed</t>
  </si>
  <si>
    <t>Financial Costs</t>
  </si>
  <si>
    <t>Depreciation and Amortization Expense</t>
  </si>
  <si>
    <t>less:Taxes</t>
  </si>
  <si>
    <t>Research Expenses</t>
  </si>
  <si>
    <t>Misc Expenses</t>
  </si>
  <si>
    <t>Corn Stock</t>
  </si>
  <si>
    <t>Purchase</t>
  </si>
  <si>
    <t>Revenue</t>
  </si>
  <si>
    <t>WC Equity</t>
  </si>
  <si>
    <t>Corn</t>
  </si>
  <si>
    <t>Total Expenses</t>
  </si>
  <si>
    <t>KG</t>
  </si>
  <si>
    <t>Bagasse req per MW</t>
  </si>
  <si>
    <t>Coal req per MW</t>
  </si>
  <si>
    <t>BREAKUP OF 25 CR(equity)</t>
  </si>
  <si>
    <t>Employee!A1</t>
  </si>
  <si>
    <t>Employee cost</t>
  </si>
  <si>
    <t>Employee</t>
  </si>
  <si>
    <t>Power!A1</t>
  </si>
  <si>
    <t xml:space="preserve">Bagasse based plant working </t>
  </si>
  <si>
    <t>Sugar!A1</t>
  </si>
  <si>
    <t xml:space="preserve">Sugar plant working </t>
  </si>
  <si>
    <t>Ethanol!A1</t>
  </si>
  <si>
    <t xml:space="preserve">Ethanol and DDGS working </t>
  </si>
  <si>
    <t>CFS!A1</t>
  </si>
  <si>
    <t>Cash Flow Statement</t>
  </si>
  <si>
    <t>CFS</t>
  </si>
  <si>
    <t>BS!A1</t>
  </si>
  <si>
    <t>Balance Sheet</t>
  </si>
  <si>
    <t>BS</t>
  </si>
  <si>
    <t>PL!A1</t>
  </si>
  <si>
    <t>Profit and Loss</t>
  </si>
  <si>
    <t>PL</t>
  </si>
  <si>
    <t xml:space="preserve">Link </t>
  </si>
  <si>
    <t>Description</t>
  </si>
  <si>
    <t xml:space="preserve">Tab Name </t>
  </si>
  <si>
    <t>BREAKUP OF IPO FUND RAISE + DEBT FUND RAISE</t>
  </si>
  <si>
    <t>Capacity Increase</t>
  </si>
  <si>
    <t>Steam</t>
  </si>
  <si>
    <t>Rice Husk</t>
  </si>
  <si>
    <t>Effeceincy</t>
  </si>
  <si>
    <t>Day capacity</t>
  </si>
  <si>
    <t xml:space="preserve">Max crushing </t>
  </si>
  <si>
    <t>Off</t>
  </si>
  <si>
    <t>On</t>
  </si>
  <si>
    <t>including labour</t>
  </si>
  <si>
    <t>Ethonol add</t>
  </si>
  <si>
    <t>Days of Production</t>
  </si>
  <si>
    <t>ton/day</t>
  </si>
  <si>
    <t>Plant Effeciency Factor</t>
  </si>
  <si>
    <t>Suger Production</t>
  </si>
  <si>
    <t>Molases Production</t>
  </si>
  <si>
    <t>Bagasse producton</t>
  </si>
  <si>
    <t>Sugercane Price</t>
  </si>
  <si>
    <t>Cost of Corn</t>
  </si>
  <si>
    <t>Steam for Suger Plant</t>
  </si>
  <si>
    <t>Steam Requirement</t>
  </si>
  <si>
    <t>Bagasse Required</t>
  </si>
  <si>
    <t>KWH/day</t>
  </si>
  <si>
    <t>Electricty production</t>
  </si>
  <si>
    <t>Used for the Plant</t>
  </si>
  <si>
    <t>Electricty sold to Grid</t>
  </si>
  <si>
    <t>Days of Suger Plant Operation</t>
  </si>
  <si>
    <t>Revenue From selling</t>
  </si>
  <si>
    <t>Cost of Electricity to Suger Plant</t>
  </si>
  <si>
    <t>Steam for Ethanol Plant</t>
  </si>
  <si>
    <t>Rice straw</t>
  </si>
  <si>
    <t>Price /ton</t>
  </si>
  <si>
    <t>Cost of Alternate Fuel</t>
  </si>
  <si>
    <t>Cost of Electricity to Ethanol Plant</t>
  </si>
  <si>
    <t>Power Cost per ltr</t>
  </si>
  <si>
    <t>Avg Cost/ kg of production</t>
  </si>
  <si>
    <t>Sales and Logestics</t>
  </si>
  <si>
    <t>Cost of Ethanol</t>
  </si>
  <si>
    <t>Cost of DDGS</t>
  </si>
  <si>
    <t>Cost of Suger</t>
  </si>
  <si>
    <t>Per ltr cost of Ethonol</t>
  </si>
  <si>
    <t>Increase</t>
  </si>
  <si>
    <t>On Ethanol</t>
  </si>
  <si>
    <t>Ton/hr</t>
  </si>
  <si>
    <t>Ethanol-Electricity Capacity</t>
  </si>
  <si>
    <t>Suger Plant- Electricity Capacity</t>
  </si>
  <si>
    <t>TPH</t>
  </si>
  <si>
    <t>TPD</t>
  </si>
  <si>
    <t>Steam-Requirement</t>
  </si>
  <si>
    <t>KWH/Day</t>
  </si>
  <si>
    <t>INR/KWH</t>
  </si>
  <si>
    <t>Cost of Material Consumed -Suger Plant</t>
  </si>
  <si>
    <t>Cost of Material Consumed for Ethanol Plant</t>
  </si>
  <si>
    <t>Less: Consumed</t>
  </si>
  <si>
    <t>Sugar Price</t>
  </si>
  <si>
    <t>Sales Amount</t>
  </si>
  <si>
    <t>Payables for Corn</t>
  </si>
  <si>
    <t>Salary for dedicated staff</t>
  </si>
  <si>
    <t>Suger Stock</t>
  </si>
  <si>
    <t>Price</t>
  </si>
  <si>
    <t>Tons</t>
  </si>
  <si>
    <t>Molasses Stock</t>
  </si>
  <si>
    <t>Salary Increment</t>
  </si>
  <si>
    <t>Steam Requirement Module</t>
  </si>
  <si>
    <t>Steam From Available bagasse</t>
  </si>
  <si>
    <t>Bagasse Stock</t>
  </si>
  <si>
    <t>Add: produced</t>
  </si>
  <si>
    <t>Utilised for Suger Plant</t>
  </si>
  <si>
    <t>Utilised for Ethanol Plant</t>
  </si>
  <si>
    <t>Additional Feed Bought</t>
  </si>
  <si>
    <t>Bagasse Required- Suger</t>
  </si>
  <si>
    <t>Bagasse Required- Ethanol</t>
  </si>
  <si>
    <t>Additional bagasse required</t>
  </si>
  <si>
    <t>Bagasse Sale Vale</t>
  </si>
  <si>
    <t>EBITDA Margin</t>
  </si>
  <si>
    <t>PAT Margin</t>
  </si>
  <si>
    <t xml:space="preserve">Sugar Revenue </t>
  </si>
  <si>
    <t xml:space="preserve">Sugar Gross Profit </t>
  </si>
  <si>
    <t>Sugar Gross Margin</t>
  </si>
  <si>
    <t xml:space="preserve">Ethanol Revenue </t>
  </si>
  <si>
    <t xml:space="preserve">Ethanol Gross Profit </t>
  </si>
  <si>
    <t>Ethanol Gross Margin</t>
  </si>
  <si>
    <t>Ratio</t>
  </si>
  <si>
    <t xml:space="preserve"> Profitability</t>
  </si>
  <si>
    <t>Operating margins</t>
  </si>
  <si>
    <t>NPM</t>
  </si>
  <si>
    <t>Return ratio</t>
  </si>
  <si>
    <t>Return on capital employed</t>
  </si>
  <si>
    <t>Debt ratio</t>
  </si>
  <si>
    <t>Debt/equity</t>
  </si>
  <si>
    <t>interst coverage ratio</t>
  </si>
  <si>
    <t>Turnover ratio</t>
  </si>
  <si>
    <t>Fixed assets turnover</t>
  </si>
  <si>
    <t>inventory turnover</t>
  </si>
  <si>
    <t>Receivable turnover</t>
  </si>
  <si>
    <t>Return on Equity</t>
  </si>
  <si>
    <t>Formula</t>
  </si>
  <si>
    <t>EBITDA/Sales</t>
  </si>
  <si>
    <t>PAT/Sales</t>
  </si>
  <si>
    <t>PAT/Total Equity</t>
  </si>
  <si>
    <t>Total Debt/Equity</t>
  </si>
  <si>
    <t>EBITDA/(Total Debt+Equity)</t>
  </si>
  <si>
    <t>EBITDA/Finance Cost</t>
  </si>
  <si>
    <t>Sales/Total fixed assets</t>
  </si>
  <si>
    <t>Sales/ inventory</t>
  </si>
  <si>
    <t>Sales/ Receivable</t>
  </si>
  <si>
    <t>Sales/ Paybale</t>
  </si>
  <si>
    <t>Payables turnover</t>
  </si>
  <si>
    <t>CAGR</t>
  </si>
  <si>
    <t>Net profit margin</t>
  </si>
  <si>
    <t>Equity multiplier</t>
  </si>
  <si>
    <t>net income/sales</t>
  </si>
  <si>
    <t>sales/total assets</t>
  </si>
  <si>
    <t>total assets/shareholder fund</t>
  </si>
  <si>
    <t>Assets turnover ratio</t>
  </si>
  <si>
    <t>Dupont analysis</t>
  </si>
  <si>
    <t>Ethanol EBITDA</t>
  </si>
  <si>
    <t>Ethanol EBITDA Margin</t>
  </si>
  <si>
    <t>Ethanol PAT Margin</t>
  </si>
  <si>
    <t xml:space="preserve">Gross Profit </t>
  </si>
  <si>
    <t>Ethanol PAT</t>
  </si>
  <si>
    <t>Sugar EBITDA</t>
  </si>
  <si>
    <t>Sugar EBITDA Margin</t>
  </si>
  <si>
    <t>Sugar PAT</t>
  </si>
  <si>
    <t>Sugar PAT Margin</t>
  </si>
  <si>
    <t>Gross Profit</t>
  </si>
  <si>
    <t xml:space="preserve">PAT </t>
  </si>
  <si>
    <t>Justifiation to increased profitability</t>
  </si>
  <si>
    <r>
      <t xml:space="preserve">Compared to peers operating in Uttar Pradesh and Maharashtra, which typically report sugar recovery rates of around </t>
    </r>
    <r>
      <rPr>
        <b/>
        <sz val="11"/>
        <color theme="1"/>
        <rFont val="Calibri"/>
        <family val="2"/>
        <scheme val="minor"/>
      </rPr>
      <t>10%</t>
    </r>
    <r>
      <rPr>
        <sz val="11"/>
        <color theme="1"/>
        <rFont val="Calibri"/>
        <family val="2"/>
        <scheme val="minor"/>
      </rPr>
      <t xml:space="preserve">, our operations in Madhya Pradesh have consistently achieved a </t>
    </r>
    <r>
      <rPr>
        <b/>
        <sz val="11"/>
        <color theme="1"/>
        <rFont val="Calibri"/>
        <family val="2"/>
        <scheme val="minor"/>
      </rPr>
      <t>higher recovery rate of 11%</t>
    </r>
    <r>
      <rPr>
        <sz val="11"/>
        <color theme="1"/>
        <rFont val="Calibri"/>
        <family val="2"/>
        <scheme val="minor"/>
      </rPr>
      <t>.</t>
    </r>
  </si>
  <si>
    <r>
      <t xml:space="preserve">This </t>
    </r>
    <r>
      <rPr>
        <b/>
        <sz val="11"/>
        <color theme="1"/>
        <rFont val="Calibri"/>
        <family val="2"/>
        <scheme val="minor"/>
      </rPr>
      <t>1% improvement in yield</t>
    </r>
    <r>
      <rPr>
        <sz val="11"/>
        <color theme="1"/>
        <rFont val="Calibri"/>
        <family val="2"/>
        <scheme val="minor"/>
      </rPr>
      <t xml:space="preserve"> directly enhances profitability, as it results in higher sugar output from the same quantity of sugarcane — thereby improving revenue </t>
    </r>
    <r>
      <rPr>
        <b/>
        <sz val="11"/>
        <color theme="1"/>
        <rFont val="Calibri"/>
        <family val="2"/>
        <scheme val="minor"/>
      </rPr>
      <t>without incurring any additional raw material or processing cost</t>
    </r>
    <r>
      <rPr>
        <sz val="11"/>
        <color theme="1"/>
        <rFont val="Calibri"/>
        <family val="2"/>
        <scheme val="minor"/>
      </rPr>
      <t>.</t>
    </r>
  </si>
  <si>
    <t>Over time, this operational efficiency becomes a key competitive advantage, especially in a cost-sensitive, commodity-driven industry like sugar.</t>
  </si>
  <si>
    <r>
      <t xml:space="preserve">Since this </t>
    </r>
    <r>
      <rPr>
        <b/>
        <sz val="11"/>
        <color theme="1"/>
        <rFont val="Calibri"/>
        <family val="2"/>
        <scheme val="minor"/>
      </rPr>
      <t>incremental yield does not require any corresponding increase in input cost</t>
    </r>
    <r>
      <rPr>
        <sz val="11"/>
        <color theme="1"/>
        <rFont val="Calibri"/>
        <family val="2"/>
        <scheme val="minor"/>
      </rPr>
      <t xml:space="preserve">, it translates into </t>
    </r>
    <r>
      <rPr>
        <b/>
        <sz val="11"/>
        <color theme="1"/>
        <rFont val="Calibri"/>
        <family val="2"/>
        <scheme val="minor"/>
      </rPr>
      <t>pure margin expansion</t>
    </r>
    <r>
      <rPr>
        <sz val="11"/>
        <color theme="1"/>
        <rFont val="Calibri"/>
        <family val="2"/>
        <scheme val="minor"/>
      </rPr>
      <t xml:space="preserve">, improving both </t>
    </r>
    <r>
      <rPr>
        <b/>
        <sz val="11"/>
        <color theme="1"/>
        <rFont val="Calibri"/>
        <family val="2"/>
        <scheme val="minor"/>
      </rPr>
      <t>gross and EBITDA margins</t>
    </r>
    <r>
      <rPr>
        <sz val="11"/>
        <color theme="1"/>
        <rFont val="Calibri"/>
        <family val="2"/>
        <scheme val="minor"/>
      </rPr>
      <t>.</t>
    </r>
  </si>
  <si>
    <r>
      <t xml:space="preserve">While peers in the sugar industry typically report </t>
    </r>
    <r>
      <rPr>
        <b/>
        <sz val="11"/>
        <color theme="1"/>
        <rFont val="Calibri"/>
        <family val="2"/>
        <scheme val="minor"/>
      </rPr>
      <t>power generation as a separate revenue stream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Mahakaushal Sugar &amp; Power Industries</t>
    </r>
    <r>
      <rPr>
        <sz val="11"/>
        <color theme="1"/>
        <rFont val="Calibri"/>
        <family val="2"/>
        <scheme val="minor"/>
      </rPr>
      <t xml:space="preserve"> adopts a more conservative accounting approach by </t>
    </r>
    <r>
      <rPr>
        <b/>
        <sz val="11"/>
        <color theme="1"/>
        <rFont val="Calibri"/>
        <family val="2"/>
        <scheme val="minor"/>
      </rPr>
      <t>netting power income against operating costs</t>
    </r>
    <r>
      <rPr>
        <sz val="11"/>
        <color theme="1"/>
        <rFont val="Calibri"/>
        <family val="2"/>
        <scheme val="minor"/>
      </rPr>
      <t>.</t>
    </r>
  </si>
  <si>
    <r>
      <t xml:space="preserve">As a result, while our revenue figures may appear lower than peers due to this treatment, </t>
    </r>
    <r>
      <rPr>
        <b/>
        <sz val="11"/>
        <color theme="1"/>
        <rFont val="Calibri"/>
        <family val="2"/>
        <scheme val="minor"/>
      </rPr>
      <t>our reported margins remain fully comparable</t>
    </r>
    <r>
      <rPr>
        <sz val="11"/>
        <color theme="1"/>
        <rFont val="Calibri"/>
        <family val="2"/>
        <scheme val="minor"/>
      </rPr>
      <t xml:space="preserve">, and in fact, </t>
    </r>
    <r>
      <rPr>
        <b/>
        <sz val="11"/>
        <color theme="1"/>
        <rFont val="Calibri"/>
        <family val="2"/>
        <scheme val="minor"/>
      </rPr>
      <t>better reflect our cost savings from internal power generation</t>
    </r>
    <r>
      <rPr>
        <sz val="11"/>
        <color theme="1"/>
        <rFont val="Calibri"/>
        <family val="2"/>
        <scheme val="minor"/>
      </rPr>
      <t>.</t>
    </r>
  </si>
  <si>
    <r>
      <t xml:space="preserve">Specifically, power generated through </t>
    </r>
    <r>
      <rPr>
        <b/>
        <sz val="11"/>
        <color theme="1"/>
        <rFont val="Calibri"/>
        <family val="2"/>
        <scheme val="minor"/>
      </rPr>
      <t>bagasse/corn-based cogeneration</t>
    </r>
    <r>
      <rPr>
        <sz val="11"/>
        <color theme="1"/>
        <rFont val="Calibri"/>
        <family val="2"/>
        <scheme val="minor"/>
      </rPr>
      <t xml:space="preserve"> is primarily used for captive consumption, and the surplus exported to the grid is </t>
    </r>
    <r>
      <rPr>
        <b/>
        <sz val="11"/>
        <color theme="1"/>
        <rFont val="Calibri"/>
        <family val="2"/>
        <scheme val="minor"/>
      </rPr>
      <t>deducted from the cost of power/fuel</t>
    </r>
    <r>
      <rPr>
        <sz val="11"/>
        <color theme="1"/>
        <rFont val="Calibri"/>
        <family val="2"/>
        <scheme val="minor"/>
      </rPr>
      <t xml:space="preserve"> instead of being reflected as top-line revenue.</t>
    </r>
  </si>
  <si>
    <t>It also aligns with the principle of matching income directly with the cost it offsets, ensuring transparency in actual margin performance.</t>
  </si>
  <si>
    <r>
      <t xml:space="preserve">This approach does not understate our profitability — rather, it provides a </t>
    </r>
    <r>
      <rPr>
        <b/>
        <sz val="11"/>
        <color theme="1"/>
        <rFont val="Calibri"/>
        <family val="2"/>
        <scheme val="minor"/>
      </rPr>
      <t>clearer reflection of net operational efficiency</t>
    </r>
    <r>
      <rPr>
        <sz val="11"/>
        <color theme="1"/>
        <rFont val="Calibri"/>
        <family val="2"/>
        <scheme val="minor"/>
      </rPr>
      <t>.</t>
    </r>
  </si>
  <si>
    <r>
      <t xml:space="preserve">This decision appears to be driven by multiple </t>
    </r>
    <r>
      <rPr>
        <b/>
        <sz val="11"/>
        <color theme="1"/>
        <rFont val="Calibri"/>
        <family val="2"/>
        <scheme val="minor"/>
      </rPr>
      <t>strategic and operational advantages</t>
    </r>
    <r>
      <rPr>
        <sz val="11"/>
        <color theme="1"/>
        <rFont val="Calibri"/>
        <family val="2"/>
        <scheme val="minor"/>
      </rPr>
      <t>:</t>
    </r>
  </si>
  <si>
    <r>
      <t>Significantly lower land acquisition and setup costs</t>
    </r>
    <r>
      <rPr>
        <sz val="11"/>
        <color theme="1"/>
        <rFont val="Calibri"/>
        <family val="2"/>
        <scheme val="minor"/>
      </rPr>
      <t xml:space="preserve"> compared to UP and Maharashtra, enabling more cost-effective capital deployment.</t>
    </r>
  </si>
  <si>
    <r>
      <t xml:space="preserve">A clear </t>
    </r>
    <r>
      <rPr>
        <b/>
        <sz val="11"/>
        <color theme="1"/>
        <rFont val="Calibri"/>
        <family val="2"/>
        <scheme val="minor"/>
      </rPr>
      <t>first-mover advantage</t>
    </r>
    <r>
      <rPr>
        <sz val="11"/>
        <color theme="1"/>
        <rFont val="Calibri"/>
        <family val="2"/>
        <scheme val="minor"/>
      </rPr>
      <t xml:space="preserve"> in regions such as </t>
    </r>
    <r>
      <rPr>
        <b/>
        <sz val="11"/>
        <color theme="1"/>
        <rFont val="Calibri"/>
        <family val="2"/>
        <scheme val="minor"/>
      </rPr>
      <t>Mandla, Dindori, and Jabalpur</t>
    </r>
    <r>
      <rPr>
        <sz val="11"/>
        <color theme="1"/>
        <rFont val="Calibri"/>
        <family val="2"/>
        <scheme val="minor"/>
      </rPr>
      <t>, where sugarcane cultivation exists but had previously lacked local monetization avenues.</t>
    </r>
  </si>
  <si>
    <r>
      <t xml:space="preserve">The </t>
    </r>
    <r>
      <rPr>
        <b/>
        <sz val="11"/>
        <color theme="1"/>
        <rFont val="Calibri"/>
        <family val="2"/>
        <scheme val="minor"/>
      </rPr>
      <t>absence of major competing sugar mills</t>
    </r>
    <r>
      <rPr>
        <sz val="11"/>
        <color theme="1"/>
        <rFont val="Calibri"/>
        <family val="2"/>
        <scheme val="minor"/>
      </rPr>
      <t xml:space="preserve"> in the vicinity created an opportunity to serve a captive cane-producing farmer base, which would otherwise bear high transport costs to distant mills.</t>
    </r>
  </si>
  <si>
    <r>
      <t xml:space="preserve">This allowed Mahakaushal to </t>
    </r>
    <r>
      <rPr>
        <b/>
        <sz val="11"/>
        <color theme="1"/>
        <rFont val="Calibri"/>
        <family val="2"/>
        <scheme val="minor"/>
      </rPr>
      <t>build deep-rooted supply chain relationships</t>
    </r>
    <r>
      <rPr>
        <sz val="11"/>
        <color theme="1"/>
        <rFont val="Calibri"/>
        <family val="2"/>
        <scheme val="minor"/>
      </rPr>
      <t xml:space="preserve"> with local farmers, ensuring reliable raw material sourcing and enhancing long-term operational stability.</t>
    </r>
  </si>
  <si>
    <t>(a region historically underserved in terms of large-scale sugar processing infrastructure.)</t>
  </si>
  <si>
    <r>
      <t xml:space="preserve">While most leading sugar manufacturers have established their operations in states like </t>
    </r>
    <r>
      <rPr>
        <b/>
        <sz val="11"/>
        <color theme="1"/>
        <rFont val="Calibri"/>
        <family val="2"/>
        <scheme val="minor"/>
      </rPr>
      <t>Uttar Pradesh, Maharashtra, or Rajasthan.</t>
    </r>
  </si>
  <si>
    <t>But Mahakaushal Sugar &amp; Power Ltd. has strategically chosen to situate its manufacturing plant in Madhya Pradesh.</t>
  </si>
  <si>
    <t>and contribute to rural economic development - while maintaining strong control over its value chain.</t>
  </si>
  <si>
    <t>By entering an untapped geography with latent agricultural potential, the company has effectively positioned itself to optimize input costs, secure supply,</t>
  </si>
  <si>
    <t>Total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</si>
</sst>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&quot;kg&quot;"/>
    <numFmt numFmtId="166" formatCode="&quot;₹&quot;\ #,##0"/>
    <numFmt numFmtId="167" formatCode="_ * #,##0_ ;_ * \-#,##0_ ;_ * &quot;-&quot;??_ ;_ @_ "/>
    <numFmt numFmtId="168" formatCode="[$-409]dd/mmm/yy"/>
    <numFmt numFmtId="169" formatCode="_(* #,##0_);_(* \(#,##0\);_(* &quot;-&quot;??_);_(@_)"/>
    <numFmt numFmtId="170" formatCode="0.0%"/>
    <numFmt numFmtId="171" formatCode="_ * #,##0.0_ ;_ * \-#,##0.0_ ;_ * &quot;-&quot;??_ ;_ @_ 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i/>
      <sz val="10"/>
      <name val="Times New Roman"/>
      <family val="1"/>
    </font>
    <font>
      <sz val="10"/>
      <color rgb="FF000000"/>
      <name val="Arial"/>
      <family val="2"/>
    </font>
    <font>
      <b/>
      <i/>
      <sz val="10"/>
      <name val="Times New Roman"/>
      <family val="1"/>
    </font>
    <font>
      <sz val="11"/>
      <color theme="1"/>
      <name val="Avenir Next Regular"/>
    </font>
    <font>
      <b/>
      <sz val="11"/>
      <color theme="1"/>
      <name val="Avenir Next Regula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venir Next Regular"/>
    </font>
    <font>
      <b/>
      <sz val="10"/>
      <color theme="1"/>
      <name val="Avenir Next Regula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Avenir Next Regular"/>
    </font>
    <font>
      <sz val="11"/>
      <color theme="0"/>
      <name val="Avenir Next Regular"/>
    </font>
    <font>
      <b/>
      <sz val="11"/>
      <color theme="0"/>
      <name val="Avenir Next Regular"/>
    </font>
    <font>
      <b/>
      <sz val="12"/>
      <color theme="0"/>
      <name val="Avenir Next Regular"/>
    </font>
    <font>
      <sz val="10"/>
      <color theme="0"/>
      <name val="Avenir Next Regular"/>
    </font>
    <font>
      <b/>
      <sz val="10"/>
      <color theme="0"/>
      <name val="Avenir Next Regular"/>
    </font>
    <font>
      <i/>
      <sz val="11"/>
      <color theme="1"/>
      <name val="Avenir Next Regular"/>
    </font>
    <font>
      <b/>
      <i/>
      <sz val="11"/>
      <color theme="1"/>
      <name val="Avenir Next Regular"/>
    </font>
    <font>
      <b/>
      <i/>
      <sz val="11"/>
      <color theme="1"/>
      <name val="Calibri"/>
      <family val="2"/>
      <scheme val="minor"/>
    </font>
    <font>
      <b/>
      <i/>
      <sz val="11"/>
      <color indexed="8"/>
      <name val="Avenir Next Regula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Avenir Next Regular"/>
    </font>
    <font>
      <b/>
      <sz val="8"/>
      <color theme="1"/>
      <name val="Avenir Next Regular"/>
    </font>
    <font>
      <sz val="11"/>
      <color theme="2" tint="-0.499984740745262"/>
      <name val="Avenir Next Regular"/>
    </font>
    <font>
      <b/>
      <i/>
      <sz val="11"/>
      <color theme="0"/>
      <name val="Avenir Next Regular"/>
    </font>
    <font>
      <sz val="11"/>
      <color rgb="FFFF0000"/>
      <name val="Calibri"/>
      <family val="2"/>
      <scheme val="minor"/>
    </font>
    <font>
      <b/>
      <sz val="9"/>
      <color theme="0"/>
      <name val="Avenir Next Regular"/>
    </font>
    <font>
      <sz val="9"/>
      <color theme="1"/>
      <name val="Calibri"/>
      <family val="2"/>
      <scheme val="minor"/>
    </font>
    <font>
      <b/>
      <sz val="9"/>
      <color theme="1"/>
      <name val="Avenir Next Regular"/>
    </font>
    <font>
      <sz val="9"/>
      <color theme="1"/>
      <name val="Avenir Next Regular"/>
    </font>
    <font>
      <sz val="9"/>
      <color rgb="FFFF0000"/>
      <name val="Avenir Next Regula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double">
        <color auto="1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/>
    <xf numFmtId="0" fontId="34" fillId="0" borderId="0" applyNumberFormat="0" applyFill="0" applyBorder="0" applyAlignment="0" applyProtection="0"/>
  </cellStyleXfs>
  <cellXfs count="217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9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  <xf numFmtId="9" fontId="0" fillId="0" borderId="0" xfId="2" applyFont="1"/>
    <xf numFmtId="43" fontId="0" fillId="0" borderId="0" xfId="1" applyFont="1"/>
    <xf numFmtId="167" fontId="0" fillId="0" borderId="0" xfId="1" applyNumberFormat="1" applyFont="1"/>
    <xf numFmtId="167" fontId="0" fillId="0" borderId="0" xfId="0" applyNumberFormat="1"/>
    <xf numFmtId="43" fontId="0" fillId="0" borderId="0" xfId="0" applyNumberFormat="1"/>
    <xf numFmtId="0" fontId="11" fillId="0" borderId="0" xfId="3"/>
    <xf numFmtId="0" fontId="7" fillId="0" borderId="0" xfId="3" applyFont="1"/>
    <xf numFmtId="43" fontId="7" fillId="0" borderId="0" xfId="3" applyNumberFormat="1" applyFont="1"/>
    <xf numFmtId="164" fontId="7" fillId="0" borderId="0" xfId="3" applyNumberFormat="1" applyFont="1"/>
    <xf numFmtId="0" fontId="7" fillId="0" borderId="0" xfId="3" applyFont="1" applyAlignment="1">
      <alignment horizontal="center"/>
    </xf>
    <xf numFmtId="164" fontId="6" fillId="0" borderId="15" xfId="3" applyNumberFormat="1" applyFont="1" applyBorder="1"/>
    <xf numFmtId="164" fontId="6" fillId="0" borderId="0" xfId="3" applyNumberFormat="1" applyFont="1"/>
    <xf numFmtId="164" fontId="7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/>
    </xf>
    <xf numFmtId="0" fontId="7" fillId="0" borderId="0" xfId="3" applyFont="1" applyAlignment="1">
      <alignment horizontal="right"/>
    </xf>
    <xf numFmtId="164" fontId="12" fillId="0" borderId="0" xfId="3" applyNumberFormat="1" applyFont="1"/>
    <xf numFmtId="164" fontId="6" fillId="0" borderId="15" xfId="3" applyNumberFormat="1" applyFont="1" applyBorder="1" applyAlignment="1">
      <alignment horizontal="center"/>
    </xf>
    <xf numFmtId="164" fontId="7" fillId="0" borderId="0" xfId="3" applyNumberFormat="1" applyFont="1" applyAlignment="1">
      <alignment wrapText="1"/>
    </xf>
    <xf numFmtId="0" fontId="7" fillId="0" borderId="0" xfId="3" applyFont="1" applyAlignment="1">
      <alignment horizontal="center" vertical="top"/>
    </xf>
    <xf numFmtId="0" fontId="6" fillId="0" borderId="0" xfId="3" applyFont="1"/>
    <xf numFmtId="10" fontId="7" fillId="0" borderId="0" xfId="3" applyNumberFormat="1" applyFont="1" applyAlignment="1">
      <alignment horizontal="center"/>
    </xf>
    <xf numFmtId="9" fontId="7" fillId="0" borderId="0" xfId="3" applyNumberFormat="1" applyFont="1" applyAlignment="1">
      <alignment horizontal="center"/>
    </xf>
    <xf numFmtId="164" fontId="6" fillId="0" borderId="16" xfId="3" applyNumberFormat="1" applyFont="1" applyBorder="1" applyAlignment="1">
      <alignment horizontal="center"/>
    </xf>
    <xf numFmtId="164" fontId="10" fillId="0" borderId="0" xfId="3" applyNumberFormat="1" applyFont="1"/>
    <xf numFmtId="164" fontId="7" fillId="0" borderId="15" xfId="3" applyNumberFormat="1" applyFont="1" applyBorder="1" applyAlignment="1">
      <alignment horizontal="center"/>
    </xf>
    <xf numFmtId="164" fontId="7" fillId="0" borderId="14" xfId="3" applyNumberFormat="1" applyFont="1" applyBorder="1" applyAlignment="1">
      <alignment horizontal="center"/>
    </xf>
    <xf numFmtId="0" fontId="9" fillId="0" borderId="0" xfId="3" applyFont="1"/>
    <xf numFmtId="10" fontId="9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left"/>
    </xf>
    <xf numFmtId="10" fontId="7" fillId="0" borderId="0" xfId="3" applyNumberFormat="1" applyFont="1" applyAlignment="1">
      <alignment horizontal="right"/>
    </xf>
    <xf numFmtId="164" fontId="7" fillId="0" borderId="0" xfId="3" applyNumberFormat="1" applyFont="1" applyAlignment="1">
      <alignment horizontal="left"/>
    </xf>
    <xf numFmtId="10" fontId="7" fillId="0" borderId="0" xfId="3" applyNumberFormat="1" applyFont="1"/>
    <xf numFmtId="0" fontId="7" fillId="0" borderId="0" xfId="3" applyFont="1" applyAlignment="1">
      <alignment horizontal="left" vertical="center"/>
    </xf>
    <xf numFmtId="0" fontId="7" fillId="0" borderId="3" xfId="3" applyFont="1" applyBorder="1"/>
    <xf numFmtId="0" fontId="7" fillId="0" borderId="3" xfId="3" applyFont="1" applyBorder="1" applyAlignment="1">
      <alignment horizontal="center"/>
    </xf>
    <xf numFmtId="0" fontId="6" fillId="4" borderId="13" xfId="3" applyFont="1" applyFill="1" applyBorder="1" applyAlignment="1">
      <alignment horizontal="center" vertical="top" wrapText="1"/>
    </xf>
    <xf numFmtId="0" fontId="6" fillId="4" borderId="12" xfId="3" applyFont="1" applyFill="1" applyBorder="1" applyAlignment="1">
      <alignment horizontal="center" vertical="top" wrapText="1"/>
    </xf>
    <xf numFmtId="168" fontId="6" fillId="4" borderId="1" xfId="3" applyNumberFormat="1" applyFont="1" applyFill="1" applyBorder="1" applyAlignment="1">
      <alignment horizontal="center" vertical="top" wrapText="1"/>
    </xf>
    <xf numFmtId="164" fontId="12" fillId="0" borderId="10" xfId="3" applyNumberFormat="1" applyFont="1" applyBorder="1"/>
    <xf numFmtId="0" fontId="6" fillId="0" borderId="0" xfId="3" applyFont="1" applyAlignment="1">
      <alignment horizontal="center"/>
    </xf>
    <xf numFmtId="167" fontId="1" fillId="0" borderId="0" xfId="1" applyNumberFormat="1" applyFont="1"/>
    <xf numFmtId="167" fontId="1" fillId="2" borderId="0" xfId="1" applyNumberFormat="1" applyFont="1" applyFill="1"/>
    <xf numFmtId="167" fontId="0" fillId="2" borderId="0" xfId="1" applyNumberFormat="1" applyFont="1" applyFill="1"/>
    <xf numFmtId="167" fontId="5" fillId="0" borderId="0" xfId="1" applyNumberFormat="1" applyFont="1"/>
    <xf numFmtId="43" fontId="13" fillId="0" borderId="0" xfId="1" applyFont="1"/>
    <xf numFmtId="43" fontId="14" fillId="0" borderId="0" xfId="1" applyFont="1"/>
    <xf numFmtId="0" fontId="13" fillId="0" borderId="0" xfId="0" applyFont="1"/>
    <xf numFmtId="9" fontId="13" fillId="0" borderId="0" xfId="0" applyNumberFormat="1" applyFont="1"/>
    <xf numFmtId="43" fontId="13" fillId="0" borderId="0" xfId="0" applyNumberFormat="1" applyFont="1"/>
    <xf numFmtId="0" fontId="14" fillId="0" borderId="0" xfId="0" applyFont="1"/>
    <xf numFmtId="167" fontId="13" fillId="0" borderId="0" xfId="1" applyNumberFormat="1" applyFont="1"/>
    <xf numFmtId="9" fontId="13" fillId="0" borderId="0" xfId="2" applyFont="1"/>
    <xf numFmtId="9" fontId="14" fillId="0" borderId="0" xfId="2" applyFont="1"/>
    <xf numFmtId="10" fontId="13" fillId="0" borderId="0" xfId="2" applyNumberFormat="1" applyFont="1"/>
    <xf numFmtId="167" fontId="14" fillId="0" borderId="0" xfId="1" applyNumberFormat="1" applyFont="1"/>
    <xf numFmtId="164" fontId="14" fillId="0" borderId="0" xfId="1" applyNumberFormat="1" applyFont="1"/>
    <xf numFmtId="167" fontId="1" fillId="0" borderId="0" xfId="1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169" fontId="11" fillId="0" borderId="0" xfId="0" applyNumberFormat="1" applyFont="1"/>
    <xf numFmtId="167" fontId="14" fillId="3" borderId="0" xfId="1" applyNumberFormat="1" applyFont="1" applyFill="1"/>
    <xf numFmtId="167" fontId="0" fillId="0" borderId="0" xfId="1" applyNumberFormat="1" applyFont="1" applyFill="1"/>
    <xf numFmtId="167" fontId="14" fillId="2" borderId="0" xfId="1" applyNumberFormat="1" applyFont="1" applyFill="1"/>
    <xf numFmtId="167" fontId="13" fillId="2" borderId="0" xfId="1" applyNumberFormat="1" applyFont="1" applyFill="1"/>
    <xf numFmtId="10" fontId="0" fillId="0" borderId="0" xfId="2" applyNumberFormat="1" applyFont="1"/>
    <xf numFmtId="164" fontId="0" fillId="0" borderId="0" xfId="0" applyNumberFormat="1"/>
    <xf numFmtId="167" fontId="13" fillId="0" borderId="0" xfId="1" applyNumberFormat="1" applyFont="1" applyFill="1"/>
    <xf numFmtId="167" fontId="18" fillId="0" borderId="0" xfId="1" applyNumberFormat="1" applyFont="1"/>
    <xf numFmtId="167" fontId="19" fillId="0" borderId="0" xfId="1" applyNumberFormat="1" applyFont="1"/>
    <xf numFmtId="167" fontId="19" fillId="0" borderId="0" xfId="1" applyNumberFormat="1" applyFont="1" applyFill="1"/>
    <xf numFmtId="167" fontId="18" fillId="0" borderId="0" xfId="1" applyNumberFormat="1" applyFont="1" applyFill="1"/>
    <xf numFmtId="167" fontId="21" fillId="0" borderId="0" xfId="1" applyNumberFormat="1" applyFont="1"/>
    <xf numFmtId="0" fontId="23" fillId="6" borderId="0" xfId="0" applyFont="1" applyFill="1"/>
    <xf numFmtId="0" fontId="24" fillId="6" borderId="0" xfId="0" applyFont="1" applyFill="1"/>
    <xf numFmtId="14" fontId="24" fillId="6" borderId="0" xfId="0" applyNumberFormat="1" applyFont="1" applyFill="1"/>
    <xf numFmtId="15" fontId="24" fillId="6" borderId="0" xfId="0" applyNumberFormat="1" applyFont="1" applyFill="1"/>
    <xf numFmtId="167" fontId="25" fillId="6" borderId="0" xfId="1" applyNumberFormat="1" applyFont="1" applyFill="1"/>
    <xf numFmtId="43" fontId="25" fillId="6" borderId="0" xfId="1" applyFont="1" applyFill="1"/>
    <xf numFmtId="0" fontId="25" fillId="6" borderId="0" xfId="0" applyFont="1" applyFill="1"/>
    <xf numFmtId="167" fontId="26" fillId="6" borderId="0" xfId="1" applyNumberFormat="1" applyFont="1" applyFill="1"/>
    <xf numFmtId="167" fontId="27" fillId="6" borderId="0" xfId="1" applyNumberFormat="1" applyFont="1" applyFill="1"/>
    <xf numFmtId="15" fontId="27" fillId="6" borderId="0" xfId="1" applyNumberFormat="1" applyFont="1" applyFill="1"/>
    <xf numFmtId="167" fontId="22" fillId="2" borderId="0" xfId="1" applyNumberFormat="1" applyFont="1" applyFill="1"/>
    <xf numFmtId="10" fontId="22" fillId="2" borderId="0" xfId="2" applyNumberFormat="1" applyFont="1" applyFill="1"/>
    <xf numFmtId="43" fontId="20" fillId="2" borderId="0" xfId="1" applyFont="1" applyFill="1"/>
    <xf numFmtId="43" fontId="23" fillId="6" borderId="0" xfId="1" applyFont="1" applyFill="1"/>
    <xf numFmtId="43" fontId="24" fillId="6" borderId="0" xfId="1" applyFont="1" applyFill="1"/>
    <xf numFmtId="167" fontId="24" fillId="6" borderId="0" xfId="1" applyNumberFormat="1" applyFont="1" applyFill="1"/>
    <xf numFmtId="167" fontId="28" fillId="2" borderId="0" xfId="1" applyNumberFormat="1" applyFont="1" applyFill="1"/>
    <xf numFmtId="167" fontId="29" fillId="2" borderId="0" xfId="1" applyNumberFormat="1" applyFont="1" applyFill="1"/>
    <xf numFmtId="9" fontId="13" fillId="2" borderId="0" xfId="2" applyFont="1" applyFill="1"/>
    <xf numFmtId="167" fontId="5" fillId="2" borderId="0" xfId="1" applyNumberFormat="1" applyFont="1" applyFill="1"/>
    <xf numFmtId="167" fontId="30" fillId="0" borderId="0" xfId="1" applyNumberFormat="1" applyFont="1"/>
    <xf numFmtId="167" fontId="29" fillId="0" borderId="0" xfId="1" applyNumberFormat="1" applyFont="1"/>
    <xf numFmtId="167" fontId="31" fillId="0" borderId="0" xfId="1" applyNumberFormat="1" applyFont="1"/>
    <xf numFmtId="167" fontId="0" fillId="2" borderId="0" xfId="1" applyNumberFormat="1" applyFont="1" applyFill="1" applyAlignment="1">
      <alignment horizontal="left" indent="1"/>
    </xf>
    <xf numFmtId="167" fontId="0" fillId="2" borderId="0" xfId="1" applyNumberFormat="1" applyFont="1" applyFill="1" applyAlignment="1">
      <alignment horizontal="left"/>
    </xf>
    <xf numFmtId="9" fontId="0" fillId="2" borderId="0" xfId="2" applyFont="1" applyFill="1"/>
    <xf numFmtId="10" fontId="0" fillId="2" borderId="0" xfId="2" applyNumberFormat="1" applyFont="1" applyFill="1"/>
    <xf numFmtId="15" fontId="24" fillId="6" borderId="0" xfId="0" applyNumberFormat="1" applyFont="1" applyFill="1" applyAlignment="1">
      <alignment horizontal="center"/>
    </xf>
    <xf numFmtId="0" fontId="24" fillId="6" borderId="0" xfId="0" applyFont="1" applyFill="1" applyAlignment="1">
      <alignment horizontal="center"/>
    </xf>
    <xf numFmtId="43" fontId="14" fillId="2" borderId="0" xfId="1" applyFont="1" applyFill="1"/>
    <xf numFmtId="43" fontId="13" fillId="2" borderId="0" xfId="1" applyFont="1" applyFill="1"/>
    <xf numFmtId="0" fontId="13" fillId="2" borderId="0" xfId="0" applyFont="1" applyFill="1"/>
    <xf numFmtId="43" fontId="13" fillId="2" borderId="0" xfId="0" applyNumberFormat="1" applyFont="1" applyFill="1"/>
    <xf numFmtId="164" fontId="13" fillId="2" borderId="0" xfId="1" applyNumberFormat="1" applyFont="1" applyFill="1" applyAlignment="1">
      <alignment horizontal="left"/>
    </xf>
    <xf numFmtId="0" fontId="13" fillId="2" borderId="0" xfId="0" applyFont="1" applyFill="1" applyAlignment="1">
      <alignment horizontal="left"/>
    </xf>
    <xf numFmtId="167" fontId="19" fillId="2" borderId="0" xfId="1" applyNumberFormat="1" applyFont="1" applyFill="1"/>
    <xf numFmtId="167" fontId="18" fillId="2" borderId="0" xfId="1" applyNumberFormat="1" applyFont="1" applyFill="1"/>
    <xf numFmtId="9" fontId="19" fillId="2" borderId="0" xfId="2" applyFont="1" applyFill="1"/>
    <xf numFmtId="15" fontId="13" fillId="0" borderId="0" xfId="1" applyNumberFormat="1" applyFont="1"/>
    <xf numFmtId="9" fontId="0" fillId="0" borderId="0" xfId="2" applyFont="1" applyFill="1"/>
    <xf numFmtId="169" fontId="32" fillId="0" borderId="0" xfId="0" applyNumberFormat="1" applyFont="1"/>
    <xf numFmtId="2" fontId="14" fillId="2" borderId="0" xfId="1" applyNumberFormat="1" applyFont="1" applyFill="1"/>
    <xf numFmtId="167" fontId="1" fillId="0" borderId="0" xfId="1" applyNumberFormat="1" applyFont="1" applyBorder="1"/>
    <xf numFmtId="170" fontId="1" fillId="0" borderId="0" xfId="2" applyNumberFormat="1" applyFont="1"/>
    <xf numFmtId="167" fontId="0" fillId="7" borderId="0" xfId="1" applyNumberFormat="1" applyFont="1" applyFill="1"/>
    <xf numFmtId="15" fontId="23" fillId="6" borderId="0" xfId="0" applyNumberFormat="1" applyFont="1" applyFill="1"/>
    <xf numFmtId="9" fontId="1" fillId="0" borderId="0" xfId="2" applyFont="1"/>
    <xf numFmtId="10" fontId="1" fillId="0" borderId="0" xfId="2" applyNumberFormat="1" applyFont="1"/>
    <xf numFmtId="0" fontId="33" fillId="0" borderId="0" xfId="0" applyFont="1"/>
    <xf numFmtId="167" fontId="33" fillId="7" borderId="0" xfId="1" applyNumberFormat="1" applyFont="1" applyFill="1"/>
    <xf numFmtId="167" fontId="33" fillId="0" borderId="0" xfId="1" applyNumberFormat="1" applyFont="1"/>
    <xf numFmtId="0" fontId="5" fillId="0" borderId="0" xfId="0" applyFont="1"/>
    <xf numFmtId="167" fontId="5" fillId="7" borderId="0" xfId="1" applyNumberFormat="1" applyFont="1" applyFill="1"/>
    <xf numFmtId="0" fontId="34" fillId="0" borderId="17" xfId="4" applyBorder="1"/>
    <xf numFmtId="0" fontId="0" fillId="0" borderId="18" xfId="0" applyBorder="1"/>
    <xf numFmtId="0" fontId="0" fillId="0" borderId="19" xfId="0" applyBorder="1"/>
    <xf numFmtId="0" fontId="34" fillId="0" borderId="20" xfId="4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35" fillId="6" borderId="0" xfId="0" applyFont="1" applyFill="1"/>
    <xf numFmtId="43" fontId="36" fillId="0" borderId="0" xfId="1" applyFont="1"/>
    <xf numFmtId="10" fontId="18" fillId="0" borderId="0" xfId="2" applyNumberFormat="1" applyFont="1"/>
    <xf numFmtId="43" fontId="21" fillId="2" borderId="0" xfId="1" applyFont="1" applyFill="1"/>
    <xf numFmtId="9" fontId="18" fillId="0" borderId="0" xfId="2" applyFont="1"/>
    <xf numFmtId="43" fontId="26" fillId="6" borderId="0" xfId="1" applyFont="1" applyFill="1"/>
    <xf numFmtId="164" fontId="13" fillId="0" borderId="0" xfId="1" applyNumberFormat="1" applyFont="1"/>
    <xf numFmtId="43" fontId="1" fillId="0" borderId="0" xfId="1" applyFont="1"/>
    <xf numFmtId="43" fontId="21" fillId="0" borderId="0" xfId="1" applyFont="1"/>
    <xf numFmtId="167" fontId="37" fillId="2" borderId="0" xfId="1" applyNumberFormat="1" applyFont="1" applyFill="1"/>
    <xf numFmtId="167" fontId="37" fillId="0" borderId="0" xfId="1" applyNumberFormat="1" applyFont="1"/>
    <xf numFmtId="43" fontId="37" fillId="2" borderId="0" xfId="1" applyFont="1" applyFill="1"/>
    <xf numFmtId="167" fontId="1" fillId="2" borderId="0" xfId="1" applyNumberFormat="1" applyFont="1" applyFill="1" applyAlignment="1">
      <alignment horizontal="left" indent="1"/>
    </xf>
    <xf numFmtId="167" fontId="1" fillId="2" borderId="0" xfId="1" applyNumberFormat="1" applyFont="1" applyFill="1" applyAlignment="1">
      <alignment horizontal="left"/>
    </xf>
    <xf numFmtId="15" fontId="19" fillId="0" borderId="0" xfId="1" applyNumberFormat="1" applyFont="1" applyFill="1"/>
    <xf numFmtId="171" fontId="18" fillId="0" borderId="0" xfId="1" applyNumberFormat="1" applyFont="1"/>
    <xf numFmtId="171" fontId="26" fillId="6" borderId="0" xfId="1" applyNumberFormat="1" applyFont="1" applyFill="1"/>
    <xf numFmtId="171" fontId="27" fillId="6" borderId="0" xfId="1" applyNumberFormat="1" applyFont="1" applyFill="1"/>
    <xf numFmtId="167" fontId="13" fillId="8" borderId="0" xfId="1" applyNumberFormat="1" applyFont="1" applyFill="1"/>
    <xf numFmtId="0" fontId="30" fillId="0" borderId="0" xfId="0" applyFont="1"/>
    <xf numFmtId="9" fontId="14" fillId="0" borderId="0" xfId="0" applyNumberFormat="1" applyFont="1"/>
    <xf numFmtId="43" fontId="29" fillId="0" borderId="0" xfId="1" applyFont="1"/>
    <xf numFmtId="43" fontId="0" fillId="2" borderId="0" xfId="1" applyFont="1" applyFill="1"/>
    <xf numFmtId="167" fontId="1" fillId="2" borderId="26" xfId="1" applyNumberFormat="1" applyFont="1" applyFill="1" applyBorder="1"/>
    <xf numFmtId="167" fontId="14" fillId="0" borderId="26" xfId="1" applyNumberFormat="1" applyFont="1" applyBorder="1"/>
    <xf numFmtId="167" fontId="14" fillId="2" borderId="26" xfId="1" applyNumberFormat="1" applyFont="1" applyFill="1" applyBorder="1"/>
    <xf numFmtId="167" fontId="38" fillId="6" borderId="0" xfId="1" applyNumberFormat="1" applyFont="1" applyFill="1"/>
    <xf numFmtId="0" fontId="38" fillId="6" borderId="0" xfId="0" applyFont="1" applyFill="1"/>
    <xf numFmtId="167" fontId="20" fillId="0" borderId="0" xfId="1" applyNumberFormat="1" applyFont="1"/>
    <xf numFmtId="171" fontId="21" fillId="0" borderId="0" xfId="1" applyNumberFormat="1" applyFont="1"/>
    <xf numFmtId="0" fontId="39" fillId="0" borderId="0" xfId="0" applyFont="1"/>
    <xf numFmtId="167" fontId="1" fillId="0" borderId="0" xfId="0" applyNumberFormat="1" applyFont="1"/>
    <xf numFmtId="43" fontId="39" fillId="0" borderId="0" xfId="1" applyFont="1"/>
    <xf numFmtId="167" fontId="13" fillId="0" borderId="0" xfId="0" applyNumberFormat="1" applyFont="1"/>
    <xf numFmtId="10" fontId="0" fillId="0" borderId="0" xfId="2" applyNumberFormat="1" applyFont="1" applyFill="1"/>
    <xf numFmtId="167" fontId="40" fillId="6" borderId="0" xfId="1" applyNumberFormat="1" applyFont="1" applyFill="1"/>
    <xf numFmtId="167" fontId="41" fillId="0" borderId="0" xfId="1" applyNumberFormat="1" applyFont="1"/>
    <xf numFmtId="167" fontId="42" fillId="0" borderId="0" xfId="1" applyNumberFormat="1" applyFont="1"/>
    <xf numFmtId="167" fontId="40" fillId="6" borderId="0" xfId="1" applyNumberFormat="1" applyFont="1" applyFill="1" applyAlignment="1">
      <alignment horizontal="center"/>
    </xf>
    <xf numFmtId="167" fontId="43" fillId="2" borderId="0" xfId="1" applyNumberFormat="1" applyFont="1" applyFill="1"/>
    <xf numFmtId="167" fontId="44" fillId="2" borderId="0" xfId="1" applyNumberFormat="1" applyFont="1" applyFill="1"/>
    <xf numFmtId="167" fontId="45" fillId="0" borderId="0" xfId="1" applyNumberFormat="1" applyFont="1"/>
    <xf numFmtId="1" fontId="0" fillId="0" borderId="0" xfId="1" applyNumberFormat="1" applyFont="1"/>
    <xf numFmtId="2" fontId="0" fillId="0" borderId="0" xfId="1" applyNumberFormat="1" applyFont="1"/>
    <xf numFmtId="2" fontId="1" fillId="0" borderId="0" xfId="2" applyNumberFormat="1" applyFont="1"/>
    <xf numFmtId="170" fontId="5" fillId="2" borderId="0" xfId="2" applyNumberFormat="1" applyFont="1" applyFill="1"/>
    <xf numFmtId="43" fontId="5" fillId="2" borderId="0" xfId="1" applyFont="1" applyFill="1"/>
    <xf numFmtId="10" fontId="5" fillId="2" borderId="0" xfId="2" applyNumberFormat="1" applyFont="1" applyFill="1"/>
    <xf numFmtId="169" fontId="18" fillId="2" borderId="0" xfId="1" applyNumberFormat="1" applyFont="1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3" fillId="3" borderId="0" xfId="0" applyFont="1" applyFill="1"/>
    <xf numFmtId="167" fontId="0" fillId="3" borderId="0" xfId="1" applyNumberFormat="1" applyFont="1" applyFill="1"/>
    <xf numFmtId="2" fontId="0" fillId="2" borderId="0" xfId="2" applyNumberFormat="1" applyFont="1" applyFill="1"/>
    <xf numFmtId="2" fontId="0" fillId="0" borderId="0" xfId="0" applyNumberFormat="1"/>
    <xf numFmtId="0" fontId="1" fillId="9" borderId="0" xfId="0" applyFont="1" applyFill="1" applyAlignment="1">
      <alignment horizontal="center"/>
    </xf>
    <xf numFmtId="164" fontId="6" fillId="0" borderId="0" xfId="3" applyNumberFormat="1" applyFont="1" applyAlignment="1">
      <alignment horizontal="center"/>
    </xf>
    <xf numFmtId="0" fontId="11" fillId="0" borderId="0" xfId="3"/>
    <xf numFmtId="164" fontId="6" fillId="0" borderId="0" xfId="3" applyNumberFormat="1" applyFont="1" applyAlignment="1">
      <alignment horizontal="left"/>
    </xf>
    <xf numFmtId="0" fontId="6" fillId="4" borderId="2" xfId="3" applyFont="1" applyFill="1" applyBorder="1" applyAlignment="1">
      <alignment horizontal="center" vertical="center"/>
    </xf>
    <xf numFmtId="0" fontId="8" fillId="0" borderId="3" xfId="3" applyFont="1" applyBorder="1"/>
    <xf numFmtId="0" fontId="8" fillId="0" borderId="4" xfId="3" applyFont="1" applyBorder="1"/>
    <xf numFmtId="0" fontId="8" fillId="0" borderId="5" xfId="3" applyFont="1" applyBorder="1"/>
    <xf numFmtId="0" fontId="8" fillId="0" borderId="6" xfId="3" applyFont="1" applyBorder="1"/>
    <xf numFmtId="0" fontId="8" fillId="0" borderId="9" xfId="3" applyFont="1" applyBorder="1"/>
    <xf numFmtId="0" fontId="8" fillId="0" borderId="10" xfId="3" applyFont="1" applyBorder="1"/>
    <xf numFmtId="0" fontId="8" fillId="0" borderId="11" xfId="3" applyFont="1" applyBorder="1"/>
    <xf numFmtId="0" fontId="7" fillId="0" borderId="0" xfId="3" applyFont="1" applyAlignment="1">
      <alignment horizontal="center"/>
    </xf>
    <xf numFmtId="164" fontId="6" fillId="0" borderId="0" xfId="3" applyNumberFormat="1" applyFont="1" applyAlignment="1">
      <alignment horizontal="left" vertical="center"/>
    </xf>
    <xf numFmtId="0" fontId="6" fillId="4" borderId="7" xfId="3" applyFont="1" applyFill="1" applyBorder="1" applyAlignment="1">
      <alignment horizontal="center" vertical="center" wrapText="1"/>
    </xf>
    <xf numFmtId="0" fontId="8" fillId="0" borderId="7" xfId="3" applyFont="1" applyBorder="1"/>
    <xf numFmtId="0" fontId="6" fillId="4" borderId="8" xfId="3" applyFont="1" applyFill="1" applyBorder="1" applyAlignment="1">
      <alignment horizontal="center" vertical="center" wrapText="1"/>
    </xf>
    <xf numFmtId="164" fontId="7" fillId="0" borderId="0" xfId="3" applyNumberFormat="1" applyFont="1" applyAlignment="1">
      <alignment horizontal="center"/>
    </xf>
    <xf numFmtId="0" fontId="6" fillId="0" borderId="0" xfId="3" applyFont="1" applyAlignment="1">
      <alignment horizontal="left"/>
    </xf>
    <xf numFmtId="164" fontId="12" fillId="5" borderId="10" xfId="3" applyNumberFormat="1" applyFont="1" applyFill="1" applyBorder="1" applyAlignment="1">
      <alignment horizontal="center"/>
    </xf>
  </cellXfs>
  <cellStyles count="5">
    <cellStyle name="Comma" xfId="1" builtinId="3"/>
    <cellStyle name="Hyperlink" xfId="4" builtinId="8"/>
    <cellStyle name="Normal" xfId="0" builtinId="0"/>
    <cellStyle name="Normal 2" xfId="3" xr:uid="{F618C592-1547-4387-9D64-EDF4BB43625D}"/>
    <cellStyle name="Percent" xfId="2" builtinId="5"/>
  </cellStyles>
  <dxfs count="0"/>
  <tableStyles count="0" defaultTableStyle="TableStyleMedium2" defaultPivotStyle="PivotStyleLight16"/>
  <colors>
    <mruColors>
      <color rgb="FF3366CC"/>
      <color rgb="FF000066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0620" cy="1134607"/>
    <xdr:pic>
      <xdr:nvPicPr>
        <xdr:cNvPr id="2" name="Picture 1">
          <a:extLst>
            <a:ext uri="{FF2B5EF4-FFF2-40B4-BE49-F238E27FC236}">
              <a16:creationId xmlns:a16="http://schemas.microsoft.com/office/drawing/2014/main" id="{DC441089-5B8B-4C4D-9D9E-FE02DFBC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150620" cy="113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25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414A6-2711-36DC-4B4E-AED4D3F13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20200" cy="4617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4959-3D1C-4026-A377-0A26A190B54B}">
  <sheetPr>
    <tabColor theme="1"/>
  </sheetPr>
  <dimension ref="A6:E22"/>
  <sheetViews>
    <sheetView tabSelected="1" zoomScaleNormal="100" workbookViewId="0">
      <selection activeCell="C12" sqref="C12"/>
    </sheetView>
  </sheetViews>
  <sheetFormatPr defaultColWidth="8.77734375" defaultRowHeight="14.4"/>
  <cols>
    <col min="1" max="1" width="9.77734375" bestFit="1" customWidth="1"/>
    <col min="2" max="2" width="25" bestFit="1" customWidth="1"/>
    <col min="3" max="3" width="11.77734375" bestFit="1" customWidth="1"/>
  </cols>
  <sheetData>
    <row r="6" spans="1:3" ht="15" thickBot="1"/>
    <row r="7" spans="1:3">
      <c r="A7" s="141" t="s">
        <v>452</v>
      </c>
      <c r="B7" s="140" t="s">
        <v>451</v>
      </c>
      <c r="C7" s="139" t="s">
        <v>450</v>
      </c>
    </row>
    <row r="8" spans="1:3">
      <c r="A8" s="138" t="s">
        <v>449</v>
      </c>
      <c r="B8" s="137" t="s">
        <v>448</v>
      </c>
      <c r="C8" s="136" t="s">
        <v>447</v>
      </c>
    </row>
    <row r="9" spans="1:3">
      <c r="A9" s="138" t="s">
        <v>446</v>
      </c>
      <c r="B9" s="137" t="s">
        <v>445</v>
      </c>
      <c r="C9" s="136" t="s">
        <v>444</v>
      </c>
    </row>
    <row r="10" spans="1:3">
      <c r="A10" s="138" t="s">
        <v>443</v>
      </c>
      <c r="B10" s="137" t="s">
        <v>442</v>
      </c>
      <c r="C10" s="136" t="s">
        <v>441</v>
      </c>
    </row>
    <row r="11" spans="1:3">
      <c r="A11" s="138" t="s">
        <v>0</v>
      </c>
      <c r="B11" s="137" t="s">
        <v>440</v>
      </c>
      <c r="C11" s="136" t="s">
        <v>439</v>
      </c>
    </row>
    <row r="12" spans="1:3">
      <c r="A12" s="138" t="s">
        <v>15</v>
      </c>
      <c r="B12" s="137" t="s">
        <v>438</v>
      </c>
      <c r="C12" s="136" t="s">
        <v>437</v>
      </c>
    </row>
    <row r="13" spans="1:3">
      <c r="A13" s="138" t="s">
        <v>302</v>
      </c>
      <c r="B13" s="137" t="s">
        <v>436</v>
      </c>
      <c r="C13" s="136" t="s">
        <v>435</v>
      </c>
    </row>
    <row r="14" spans="1:3" ht="15" thickBot="1">
      <c r="A14" s="135" t="s">
        <v>434</v>
      </c>
      <c r="B14" s="134" t="s">
        <v>433</v>
      </c>
      <c r="C14" s="133" t="s">
        <v>432</v>
      </c>
    </row>
    <row r="17" spans="3:5">
      <c r="C17" s="9"/>
      <c r="E17" s="73"/>
    </row>
    <row r="21" spans="3:5">
      <c r="E21" s="73"/>
    </row>
    <row r="22" spans="3:5">
      <c r="C22" s="73"/>
    </row>
  </sheetData>
  <hyperlinks>
    <hyperlink ref="C8" location="PL!A1" display="PL!A1" xr:uid="{1069BD35-8173-46FE-9654-92DCAC01CFDD}"/>
    <hyperlink ref="C9" location="BS!A1" display="BS!A1" xr:uid="{DB63B304-2535-48FA-B566-FA067C6F765A}"/>
    <hyperlink ref="C10" location="CFS!A1" display="CFS!A1" xr:uid="{2948998A-B99C-4FEE-8C6E-3D9577AAF793}"/>
    <hyperlink ref="C12" location="Sugar!A1" display="Sugar!A1" xr:uid="{6F6D1B99-4152-4656-9EF4-D29430A58613}"/>
    <hyperlink ref="C11" location="Ethanol!A1" display="Ethanol!A1" xr:uid="{BC8D35BF-B9E8-4E3A-B782-503A554BA038}"/>
    <hyperlink ref="C13" location="Power!A1" display="Power!A1" xr:uid="{7F4E5D7D-B587-4E47-9B53-1F4B20BF8A7E}"/>
    <hyperlink ref="C14" location="Employee!A1" display="Employee!A1" xr:uid="{E2BE3782-50F6-44AF-BF28-F4AC919B15D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C82C-BF38-4322-B40D-0853361A8235}">
  <sheetPr>
    <tabColor theme="4"/>
  </sheetPr>
  <dimension ref="A2:T79"/>
  <sheetViews>
    <sheetView showGridLines="0" zoomScaleNormal="100" workbookViewId="0">
      <selection activeCell="A22" sqref="A22"/>
    </sheetView>
  </sheetViews>
  <sheetFormatPr defaultColWidth="8.6640625" defaultRowHeight="14.4"/>
  <cols>
    <col min="1" max="1" width="1.6640625" customWidth="1"/>
    <col min="2" max="2" width="33.6640625" bestFit="1" customWidth="1"/>
    <col min="3" max="3" width="16.6640625" style="9" bestFit="1" customWidth="1"/>
    <col min="4" max="4" width="17.77734375" style="9" bestFit="1" customWidth="1"/>
    <col min="5" max="8" width="19" style="9" bestFit="1" customWidth="1"/>
    <col min="9" max="9" width="10.77734375" style="9" bestFit="1" customWidth="1"/>
    <col min="10" max="10" width="7.44140625" style="9" bestFit="1" customWidth="1"/>
    <col min="11" max="11" width="16.77734375" style="9" bestFit="1" customWidth="1"/>
    <col min="12" max="12" width="16.6640625" style="9" bestFit="1" customWidth="1"/>
    <col min="13" max="13" width="17.6640625" style="9" bestFit="1" customWidth="1"/>
    <col min="14" max="16" width="17.77734375" style="9" bestFit="1" customWidth="1"/>
    <col min="17" max="19" width="14.77734375" style="9" bestFit="1" customWidth="1"/>
    <col min="20" max="16384" width="8.6640625" style="9"/>
  </cols>
  <sheetData>
    <row r="2" spans="1:20" s="1" customFormat="1">
      <c r="B2" s="125" t="s">
        <v>413</v>
      </c>
      <c r="C2" s="125">
        <v>45747</v>
      </c>
      <c r="D2" s="125">
        <f>EOMONTH(C2,12)</f>
        <v>46112</v>
      </c>
      <c r="E2" s="125">
        <f>EOMONTH(D2,12)</f>
        <v>46477</v>
      </c>
      <c r="F2" s="125">
        <f>EOMONTH(E2,12)</f>
        <v>46843</v>
      </c>
      <c r="G2" s="125">
        <f>EOMONTH(F2,12)</f>
        <v>47208</v>
      </c>
      <c r="H2" s="125">
        <f>EOMONTH(G2,12)</f>
        <v>47573</v>
      </c>
      <c r="K2" s="125" t="s">
        <v>561</v>
      </c>
    </row>
    <row r="3" spans="1:20">
      <c r="B3" t="s">
        <v>412</v>
      </c>
      <c r="C3" s="124">
        <f>2960217280.04+41806415</f>
        <v>3002023695.04</v>
      </c>
      <c r="D3" s="9">
        <f>PL!I$17</f>
        <v>8110768844.8725271</v>
      </c>
      <c r="E3" s="9">
        <f>PL!N17</f>
        <v>13105576447.041851</v>
      </c>
      <c r="F3" s="9">
        <f>PL!S17</f>
        <v>13784026013.526831</v>
      </c>
      <c r="G3" s="9">
        <f>PL!X17</f>
        <v>14622741075.492611</v>
      </c>
      <c r="H3" s="9">
        <f>PL!AC17</f>
        <v>15649111428.652439</v>
      </c>
    </row>
    <row r="4" spans="1:20" s="47" customFormat="1">
      <c r="A4" s="1"/>
      <c r="B4" s="95" t="s">
        <v>414</v>
      </c>
      <c r="C4" s="95">
        <f t="shared" ref="C4:H4" si="0">SUM(C3:C3)</f>
        <v>3002023695.04</v>
      </c>
      <c r="D4" s="95">
        <f t="shared" si="0"/>
        <v>8110768844.8725271</v>
      </c>
      <c r="E4" s="95">
        <f t="shared" si="0"/>
        <v>13105576447.041851</v>
      </c>
      <c r="F4" s="95">
        <f t="shared" si="0"/>
        <v>13784026013.526831</v>
      </c>
      <c r="G4" s="95">
        <f t="shared" si="0"/>
        <v>14622741075.492611</v>
      </c>
      <c r="H4" s="95">
        <f t="shared" si="0"/>
        <v>15649111428.652439</v>
      </c>
      <c r="I4" s="186">
        <f>H4/C4</f>
        <v>5.2128540672441046</v>
      </c>
      <c r="J4" s="126"/>
      <c r="K4" s="126">
        <f>(H4/C4)^(1/5)-1</f>
        <v>0.39128183031362562</v>
      </c>
    </row>
    <row r="5" spans="1:20">
      <c r="B5" s="131"/>
      <c r="C5" s="132"/>
      <c r="D5" s="50"/>
      <c r="E5" s="50"/>
      <c r="F5" s="50"/>
      <c r="G5" s="50"/>
      <c r="H5" s="50"/>
    </row>
    <row r="6" spans="1:20">
      <c r="B6" s="1" t="s">
        <v>415</v>
      </c>
      <c r="C6" s="132"/>
      <c r="D6" s="50"/>
      <c r="E6" s="50"/>
      <c r="F6" s="50"/>
      <c r="G6" s="50"/>
      <c r="H6" s="50"/>
      <c r="I6" s="72"/>
      <c r="J6" s="72"/>
    </row>
    <row r="7" spans="1:20">
      <c r="B7" s="1" t="s">
        <v>416</v>
      </c>
      <c r="C7" s="132">
        <f>2596066425.97-399258751</f>
        <v>2196807674.9699998</v>
      </c>
      <c r="D7" s="50">
        <f>SUM(D8:D9)</f>
        <v>6215922678.3380032</v>
      </c>
      <c r="E7" s="50">
        <f>SUM(E8:E9)</f>
        <v>9830390827.8684349</v>
      </c>
      <c r="F7" s="50">
        <f>SUM(F8:F9)</f>
        <v>9728275176.0840988</v>
      </c>
      <c r="G7" s="50">
        <f>SUM(G8:G9)</f>
        <v>10221873733.496025</v>
      </c>
      <c r="H7" s="50">
        <f>SUM(H8:H9)</f>
        <v>10952646908.298462</v>
      </c>
      <c r="I7" s="72">
        <f t="shared" ref="I7:I13" si="1">E7/$E$4</f>
        <v>0.75009221208940557</v>
      </c>
      <c r="J7" s="72">
        <f>F7/$F$4</f>
        <v>0.70576442372767889</v>
      </c>
    </row>
    <row r="8" spans="1:20">
      <c r="B8" s="128" t="s">
        <v>396</v>
      </c>
      <c r="C8" s="129">
        <v>0</v>
      </c>
      <c r="D8" s="130">
        <f>SUM(PL!$I$21:$I$26)</f>
        <v>2410706276.7110095</v>
      </c>
      <c r="E8" s="130">
        <f>SUM(PL!$N$21:$N$26)</f>
        <v>2158494376.1108499</v>
      </c>
      <c r="F8" s="130">
        <f>SUM(PL!$S$21:$S$26)</f>
        <v>2284254950.8245134</v>
      </c>
      <c r="G8" s="130">
        <f>SUM(PL!$X$21:$X$26)</f>
        <v>2630146184.4634094</v>
      </c>
      <c r="H8" s="130">
        <f>SUM(PL!$AC$21:$AC$26)</f>
        <v>3128579789.401063</v>
      </c>
      <c r="I8" s="72">
        <f t="shared" si="1"/>
        <v>0.16470045288225824</v>
      </c>
      <c r="J8" s="72">
        <f t="shared" ref="J8:J13" si="2">F8/$F$4</f>
        <v>0.16571754497436963</v>
      </c>
    </row>
    <row r="9" spans="1:20">
      <c r="B9" s="128" t="s">
        <v>426</v>
      </c>
      <c r="C9" s="129">
        <v>0</v>
      </c>
      <c r="D9" s="130">
        <f>SUM(PL!$I$29:$I$34)</f>
        <v>3805216401.6269932</v>
      </c>
      <c r="E9" s="130">
        <f>SUM(PL!$N$29:$N$34)</f>
        <v>7671896451.7575855</v>
      </c>
      <c r="F9" s="130">
        <f>SUM(PL!$S$29:$S$34)</f>
        <v>7444020225.2595844</v>
      </c>
      <c r="G9" s="130">
        <f>SUM(PL!$X$29:$X$34)</f>
        <v>7591727549.0326147</v>
      </c>
      <c r="H9" s="130">
        <f>SUM(PL!$AC$29:$AC$34)</f>
        <v>7824067118.897398</v>
      </c>
      <c r="I9" s="72">
        <f t="shared" si="1"/>
        <v>0.58539175920714737</v>
      </c>
      <c r="J9" s="72">
        <f t="shared" si="2"/>
        <v>0.54004687875330926</v>
      </c>
    </row>
    <row r="10" spans="1:20">
      <c r="B10" s="131" t="s">
        <v>289</v>
      </c>
      <c r="C10" s="132">
        <v>84408959</v>
      </c>
      <c r="D10" s="50">
        <f>PL!$I$37</f>
        <v>28022815.681171868</v>
      </c>
      <c r="E10" s="50">
        <f>PL!$N$37</f>
        <v>30931945.180485893</v>
      </c>
      <c r="F10" s="50">
        <f>PL!$S$37</f>
        <v>34143079.822326154</v>
      </c>
      <c r="G10" s="50">
        <f>PL!$X$37</f>
        <v>37687571.633521929</v>
      </c>
      <c r="H10" s="50">
        <f>PL!$AC$37</f>
        <v>41600027.385434583</v>
      </c>
      <c r="I10" s="72">
        <f t="shared" si="1"/>
        <v>2.3602124870644474E-3</v>
      </c>
      <c r="J10" s="72">
        <f t="shared" si="2"/>
        <v>2.4770034378069328E-3</v>
      </c>
    </row>
    <row r="11" spans="1:20">
      <c r="B11" s="131" t="s">
        <v>420</v>
      </c>
      <c r="C11" s="132">
        <v>0</v>
      </c>
      <c r="D11" s="50">
        <f>PL!$I$38</f>
        <v>4152515.625</v>
      </c>
      <c r="E11" s="50">
        <f>PL!$N$38</f>
        <v>4583600.275396727</v>
      </c>
      <c r="F11" s="50">
        <f>PL!$S$38</f>
        <v>5059437.0694552064</v>
      </c>
      <c r="G11" s="50">
        <f>PL!$X$38</f>
        <v>5584671.8565706294</v>
      </c>
      <c r="H11" s="50">
        <f>PL!$AC$38</f>
        <v>6164432.7851933092</v>
      </c>
      <c r="I11" s="72">
        <f t="shared" si="1"/>
        <v>3.4974427061018918E-4</v>
      </c>
      <c r="J11" s="72">
        <f t="shared" si="2"/>
        <v>3.6705074877907027E-4</v>
      </c>
    </row>
    <row r="12" spans="1:20">
      <c r="B12" s="131" t="s">
        <v>421</v>
      </c>
      <c r="C12" s="132">
        <v>0</v>
      </c>
      <c r="D12" s="50">
        <f>PL!$I$39</f>
        <v>20608040</v>
      </c>
      <c r="E12" s="50">
        <f>PL!$N$39</f>
        <v>22306805.250566401</v>
      </c>
      <c r="F12" s="50">
        <f>PL!$S$39</f>
        <v>24145603.390069932</v>
      </c>
      <c r="G12" s="50">
        <f>PL!$X$39</f>
        <v>26135977.632016715</v>
      </c>
      <c r="H12" s="50">
        <f>PL!$AC$39</f>
        <v>28290422.721935537</v>
      </c>
      <c r="I12" s="72">
        <f t="shared" si="1"/>
        <v>1.7020850124911081E-3</v>
      </c>
      <c r="J12" s="72">
        <f t="shared" si="2"/>
        <v>1.751709070076831E-3</v>
      </c>
    </row>
    <row r="13" spans="1:20">
      <c r="B13" s="131" t="s">
        <v>290</v>
      </c>
      <c r="C13" s="132">
        <v>48003432.309999995</v>
      </c>
      <c r="D13" s="50">
        <f>PL!$I$40</f>
        <v>123896569.74545455</v>
      </c>
      <c r="E13" s="50">
        <f>PL!$N$40</f>
        <v>256038863.72351897</v>
      </c>
      <c r="F13" s="50">
        <f>PL!$S$40</f>
        <v>263156065.46634459</v>
      </c>
      <c r="G13" s="50">
        <f>PL!$X$40</f>
        <v>270270205.47169811</v>
      </c>
      <c r="H13" s="50">
        <f>PL!$AC$40</f>
        <v>277384345.47169816</v>
      </c>
      <c r="I13" s="72">
        <f t="shared" si="1"/>
        <v>1.953663501625762E-2</v>
      </c>
      <c r="J13" s="72">
        <f t="shared" si="2"/>
        <v>1.9091379050510986E-2</v>
      </c>
    </row>
    <row r="14" spans="1:20" s="47" customFormat="1">
      <c r="A14" s="1"/>
      <c r="B14" s="95" t="s">
        <v>427</v>
      </c>
      <c r="C14" s="95">
        <f>SUM(C7:C13)</f>
        <v>2329220066.2799997</v>
      </c>
      <c r="D14" s="95">
        <f>SUM(D7,D10:D13)</f>
        <v>6392602619.3896294</v>
      </c>
      <c r="E14" s="95">
        <f>SUM(E7,E10:E13)</f>
        <v>10144252042.298403</v>
      </c>
      <c r="F14" s="95">
        <f>SUM(F7,F10:F13)</f>
        <v>10054779361.832296</v>
      </c>
      <c r="G14" s="95">
        <f>SUM(G7,G10:G13)</f>
        <v>10561552160.089834</v>
      </c>
      <c r="H14" s="95">
        <f>SUM(H7,H10:H13)</f>
        <v>11306086136.662724</v>
      </c>
      <c r="K14" s="126">
        <f>(H14/C14)^(1/5)-1</f>
        <v>0.37157750397489697</v>
      </c>
      <c r="N14" s="9"/>
      <c r="O14" s="9"/>
      <c r="P14" s="9"/>
      <c r="Q14" s="9"/>
      <c r="R14" s="9"/>
      <c r="S14" s="9"/>
      <c r="T14" s="9"/>
    </row>
    <row r="15" spans="1:20">
      <c r="B15" s="131"/>
      <c r="C15" s="132"/>
      <c r="D15" s="50"/>
      <c r="E15" s="50"/>
      <c r="F15" s="50"/>
      <c r="G15" s="50"/>
      <c r="H15" s="50"/>
      <c r="I15" s="185"/>
      <c r="N15" s="47">
        <v>3002023695.04</v>
      </c>
      <c r="O15" s="47">
        <v>8110768844.8725271</v>
      </c>
      <c r="P15" s="47">
        <v>13105576447.041851</v>
      </c>
      <c r="Q15" s="47">
        <v>13784026013.526831</v>
      </c>
      <c r="R15" s="47">
        <v>14622741075.492611</v>
      </c>
      <c r="S15" s="47">
        <v>15649111428.652439</v>
      </c>
      <c r="T15" s="47"/>
    </row>
    <row r="16" spans="1:20" s="47" customFormat="1">
      <c r="A16" s="1"/>
      <c r="B16" s="95" t="s">
        <v>291</v>
      </c>
      <c r="C16" s="95">
        <f t="shared" ref="C16:H16" si="3">C4-C14</f>
        <v>672803628.76000023</v>
      </c>
      <c r="D16" s="95">
        <f t="shared" si="3"/>
        <v>1718166225.4828978</v>
      </c>
      <c r="E16" s="95">
        <f t="shared" si="3"/>
        <v>2961324404.7434483</v>
      </c>
      <c r="F16" s="95">
        <f t="shared" si="3"/>
        <v>3729246651.6945343</v>
      </c>
      <c r="G16" s="95">
        <f t="shared" si="3"/>
        <v>4061188915.4027767</v>
      </c>
      <c r="H16" s="95">
        <f t="shared" si="3"/>
        <v>4343025291.9897156</v>
      </c>
      <c r="I16" s="186">
        <f>H16/C16</f>
        <v>6.4551157371045358</v>
      </c>
      <c r="J16" s="126">
        <f>(H16/D16)^(1/4)-1</f>
        <v>0.26090334021020989</v>
      </c>
      <c r="K16" s="126">
        <f>(H16/C16)^(1/5)-1</f>
        <v>0.45204744399311925</v>
      </c>
      <c r="N16" s="9">
        <f t="shared" ref="N16:S16" si="4">N15/10^7</f>
        <v>300.20236950399999</v>
      </c>
      <c r="O16" s="9">
        <f t="shared" si="4"/>
        <v>811.07688448725276</v>
      </c>
      <c r="P16" s="9">
        <f t="shared" si="4"/>
        <v>1310.5576447041851</v>
      </c>
      <c r="Q16" s="9">
        <f t="shared" si="4"/>
        <v>1378.4026013526832</v>
      </c>
      <c r="R16" s="9">
        <f t="shared" si="4"/>
        <v>1462.2741075492611</v>
      </c>
      <c r="S16" s="9">
        <f t="shared" si="4"/>
        <v>1564.9111428652438</v>
      </c>
      <c r="T16" s="9"/>
    </row>
    <row r="17" spans="1:20">
      <c r="B17" s="131" t="s">
        <v>418</v>
      </c>
      <c r="C17" s="132">
        <v>126822429</v>
      </c>
      <c r="D17" s="50">
        <f>PL!I46</f>
        <v>316877014.17911148</v>
      </c>
      <c r="E17" s="50">
        <f>PL!N46</f>
        <v>406845390.54828811</v>
      </c>
      <c r="F17" s="50">
        <f>PL!S46</f>
        <v>349166325.55187953</v>
      </c>
      <c r="G17" s="50">
        <f>PL!X46</f>
        <v>299664505.80919361</v>
      </c>
      <c r="H17" s="50">
        <f>PL!AC46</f>
        <v>257180631.32215139</v>
      </c>
      <c r="N17" s="9">
        <v>300.20236950399999</v>
      </c>
      <c r="O17" s="9">
        <v>811.07688448725276</v>
      </c>
      <c r="P17" s="9">
        <v>1310.5576447041851</v>
      </c>
      <c r="Q17" s="9">
        <v>1378.4026013526832</v>
      </c>
      <c r="R17" s="9">
        <v>1462.2741075492611</v>
      </c>
      <c r="S17" s="9">
        <v>1564.9111428652438</v>
      </c>
    </row>
    <row r="18" spans="1:20">
      <c r="B18" s="131" t="s">
        <v>417</v>
      </c>
      <c r="C18" s="132">
        <v>113939482.85999998</v>
      </c>
      <c r="D18" s="50">
        <f>PL!I$47</f>
        <v>379649808.79437411</v>
      </c>
      <c r="E18" s="50">
        <f>PL!N47</f>
        <v>280968449.96114749</v>
      </c>
      <c r="F18" s="50">
        <f>PL!S47</f>
        <v>79287497.227442101</v>
      </c>
      <c r="G18" s="50">
        <f>PL!X47</f>
        <v>68670363.746368885</v>
      </c>
      <c r="H18" s="50">
        <f>PL!AC47</f>
        <v>57401725.25743746</v>
      </c>
      <c r="N18" s="122">
        <v>672803628.76000023</v>
      </c>
      <c r="O18" s="122">
        <v>1718166225.4828978</v>
      </c>
      <c r="P18" s="122">
        <v>2961324404.7434483</v>
      </c>
      <c r="Q18" s="122">
        <v>3729246651.69453</v>
      </c>
      <c r="R18" s="122">
        <v>4061188915.4027767</v>
      </c>
      <c r="S18" s="122">
        <v>4343025291.9897156</v>
      </c>
      <c r="T18" s="122"/>
    </row>
    <row r="19" spans="1:20" s="122" customFormat="1">
      <c r="A19" s="1"/>
      <c r="B19" s="95" t="s">
        <v>107</v>
      </c>
      <c r="C19" s="95">
        <f t="shared" ref="C19:H19" si="5">C16-SUM(C17:C18)</f>
        <v>432041716.90000021</v>
      </c>
      <c r="D19" s="95">
        <f>D16-SUM(D17:D18)</f>
        <v>1021639402.5094122</v>
      </c>
      <c r="E19" s="95">
        <f>E16-SUM(E17:E18)</f>
        <v>2273510564.2340126</v>
      </c>
      <c r="F19" s="95">
        <f>F16-SUM(F17:F18)</f>
        <v>3300792828.9152126</v>
      </c>
      <c r="G19" s="95">
        <f t="shared" si="5"/>
        <v>3692854045.8472142</v>
      </c>
      <c r="H19" s="95">
        <f t="shared" si="5"/>
        <v>4028442935.4101267</v>
      </c>
      <c r="J19" s="126"/>
      <c r="K19" s="126">
        <f>(H19/C19)^(1/5)-1</f>
        <v>0.56286802717107975</v>
      </c>
      <c r="N19" s="9">
        <f t="shared" ref="N19:S19" si="6">N18/10^7</f>
        <v>67.280362876000027</v>
      </c>
      <c r="O19" s="9">
        <f t="shared" si="6"/>
        <v>171.81662254828979</v>
      </c>
      <c r="P19" s="9">
        <f t="shared" si="6"/>
        <v>296.13244047434483</v>
      </c>
      <c r="Q19" s="9">
        <f t="shared" si="6"/>
        <v>372.92466516945302</v>
      </c>
      <c r="R19" s="9">
        <f t="shared" si="6"/>
        <v>406.11889154027767</v>
      </c>
      <c r="S19" s="9">
        <f t="shared" si="6"/>
        <v>434.30252919897157</v>
      </c>
      <c r="T19" s="9"/>
    </row>
    <row r="20" spans="1:20">
      <c r="B20" s="1" t="s">
        <v>419</v>
      </c>
      <c r="C20" s="132">
        <v>100019575.06768601</v>
      </c>
      <c r="D20" s="50">
        <f>PL!I51</f>
        <v>257146637.61161897</v>
      </c>
      <c r="E20" s="50">
        <f>PL!N51</f>
        <v>572242609.01770103</v>
      </c>
      <c r="F20" s="50">
        <f>PL!S51</f>
        <v>830809555.03795946</v>
      </c>
      <c r="G20" s="50">
        <f>PL!X51</f>
        <v>929491363.33974528</v>
      </c>
      <c r="H20" s="50">
        <f>PL!AC51</f>
        <v>1013959086.8427291</v>
      </c>
      <c r="N20" s="47">
        <v>67.280362876000027</v>
      </c>
      <c r="O20" s="47">
        <v>171.81662254828979</v>
      </c>
      <c r="P20" s="47">
        <v>296.13244047434483</v>
      </c>
      <c r="Q20" s="47">
        <v>372.92466516945342</v>
      </c>
      <c r="R20" s="47">
        <v>406.11889154027767</v>
      </c>
      <c r="S20" s="47">
        <v>434.30252919897157</v>
      </c>
      <c r="T20" s="47"/>
    </row>
    <row r="21" spans="1:20" s="47" customFormat="1">
      <c r="A21" s="1"/>
      <c r="B21" s="95" t="s">
        <v>109</v>
      </c>
      <c r="C21" s="95">
        <f t="shared" ref="C21:H21" si="7">C19-C20</f>
        <v>332022141.83231419</v>
      </c>
      <c r="D21" s="95">
        <f t="shared" si="7"/>
        <v>764492764.89779317</v>
      </c>
      <c r="E21" s="95">
        <f t="shared" si="7"/>
        <v>1701267955.2163115</v>
      </c>
      <c r="F21" s="95">
        <f t="shared" si="7"/>
        <v>2469983273.8772531</v>
      </c>
      <c r="G21" s="95">
        <f t="shared" si="7"/>
        <v>2763362682.5074692</v>
      </c>
      <c r="H21" s="95">
        <f t="shared" si="7"/>
        <v>3014483848.5673976</v>
      </c>
      <c r="I21" s="186">
        <f>H21/C21</f>
        <v>9.079165118119878</v>
      </c>
      <c r="J21" s="126"/>
      <c r="K21" s="126">
        <f>(H21/C21)^(1/5)-1</f>
        <v>0.55456606406561715</v>
      </c>
      <c r="N21" s="9">
        <v>332022141.83231419</v>
      </c>
      <c r="O21" s="9">
        <v>764492764.92055631</v>
      </c>
      <c r="P21" s="9">
        <v>1701267955.2306716</v>
      </c>
      <c r="Q21" s="9">
        <v>2469983273.8772531</v>
      </c>
      <c r="R21" s="9">
        <v>2763362682.5074692</v>
      </c>
      <c r="S21" s="9">
        <v>3014483848.5673976</v>
      </c>
      <c r="T21" s="9"/>
    </row>
    <row r="22" spans="1:20">
      <c r="N22" s="9">
        <f t="shared" ref="N22:S22" si="8">N21/10^7</f>
        <v>33.202214183231419</v>
      </c>
      <c r="O22" s="9">
        <f t="shared" si="8"/>
        <v>76.449276492055631</v>
      </c>
      <c r="P22" s="9">
        <f t="shared" si="8"/>
        <v>170.12679552306716</v>
      </c>
      <c r="Q22" s="9">
        <f t="shared" si="8"/>
        <v>246.99832738772531</v>
      </c>
      <c r="R22" s="9">
        <f t="shared" si="8"/>
        <v>276.33626825074691</v>
      </c>
      <c r="S22" s="9">
        <f t="shared" si="8"/>
        <v>301.44838485673978</v>
      </c>
    </row>
    <row r="23" spans="1:20">
      <c r="N23" s="9">
        <v>33.202214183231419</v>
      </c>
      <c r="O23" s="9">
        <v>76.449276492055631</v>
      </c>
      <c r="P23" s="9">
        <v>170.12679552306716</v>
      </c>
      <c r="Q23" s="9">
        <v>246.99832738772531</v>
      </c>
      <c r="R23" s="9">
        <v>276.33626825074691</v>
      </c>
      <c r="S23" s="9">
        <v>301.44838485673978</v>
      </c>
    </row>
    <row r="25" spans="1:20">
      <c r="O25" s="9" t="s">
        <v>424</v>
      </c>
      <c r="P25" s="9" t="s">
        <v>291</v>
      </c>
      <c r="Q25" s="9" t="s">
        <v>109</v>
      </c>
      <c r="R25" s="9" t="s">
        <v>528</v>
      </c>
      <c r="S25" s="9" t="s">
        <v>527</v>
      </c>
    </row>
    <row r="26" spans="1:20">
      <c r="N26" s="184">
        <v>2025</v>
      </c>
      <c r="O26" s="9">
        <f>$N17</f>
        <v>300.20236950399999</v>
      </c>
      <c r="P26" s="50">
        <f>N20</f>
        <v>67.280362876000027</v>
      </c>
      <c r="Q26" s="9">
        <f>N23</f>
        <v>33.202214183231419</v>
      </c>
      <c r="R26" s="72">
        <f t="shared" ref="R26:R31" si="9">Q26/O26</f>
        <v>0.1105994407642043</v>
      </c>
      <c r="S26" s="72">
        <f t="shared" ref="S26:S31" si="10">P26/O26</f>
        <v>0.22411669497200143</v>
      </c>
    </row>
    <row r="27" spans="1:20">
      <c r="B27" s="125" t="s">
        <v>535</v>
      </c>
      <c r="C27" s="125">
        <v>45747</v>
      </c>
      <c r="D27" s="125">
        <f>EOMONTH(C27,12)</f>
        <v>46112</v>
      </c>
      <c r="E27" s="125">
        <f>EOMONTH(D27,12)</f>
        <v>46477</v>
      </c>
      <c r="F27" s="125">
        <f>EOMONTH(E27,12)</f>
        <v>46843</v>
      </c>
      <c r="G27" s="125">
        <f>EOMONTH(F27,12)</f>
        <v>47208</v>
      </c>
      <c r="H27" s="125">
        <f>EOMONTH(G27,12)</f>
        <v>47573</v>
      </c>
      <c r="K27" s="125" t="s">
        <v>549</v>
      </c>
      <c r="N27" s="184">
        <f>N26+1</f>
        <v>2026</v>
      </c>
      <c r="O27" s="9">
        <f>O17</f>
        <v>811.07688448725276</v>
      </c>
      <c r="P27" s="50">
        <f>O20</f>
        <v>171.81662254828979</v>
      </c>
      <c r="Q27" s="9">
        <f>O23</f>
        <v>76.449276492055631</v>
      </c>
      <c r="R27" s="72">
        <f t="shared" si="9"/>
        <v>9.4256510022949797E-2</v>
      </c>
      <c r="S27" s="72">
        <f t="shared" si="10"/>
        <v>0.21183765168811211</v>
      </c>
    </row>
    <row r="28" spans="1:20">
      <c r="B28" s="1" t="s">
        <v>536</v>
      </c>
      <c r="N28" s="184">
        <f>N27+1</f>
        <v>2027</v>
      </c>
      <c r="O28" s="9">
        <f>P17</f>
        <v>1310.5576447041851</v>
      </c>
      <c r="P28" s="50">
        <f>P20</f>
        <v>296.13244047434483</v>
      </c>
      <c r="Q28" s="9">
        <f>P23</f>
        <v>170.12679552306716</v>
      </c>
      <c r="R28" s="72">
        <f t="shared" si="9"/>
        <v>0.12981252385999978</v>
      </c>
      <c r="S28" s="72">
        <f t="shared" si="10"/>
        <v>0.22595911112417105</v>
      </c>
    </row>
    <row r="29" spans="1:20">
      <c r="B29" s="99" t="s">
        <v>537</v>
      </c>
      <c r="C29" s="187">
        <f t="shared" ref="C29:H29" si="11">C16/C3</f>
        <v>0.2241166949720014</v>
      </c>
      <c r="D29" s="187">
        <f t="shared" si="11"/>
        <v>0.21183765168811211</v>
      </c>
      <c r="E29" s="187">
        <f t="shared" si="11"/>
        <v>0.22595911112417102</v>
      </c>
      <c r="F29" s="187">
        <f t="shared" si="11"/>
        <v>0.27054843396514716</v>
      </c>
      <c r="G29" s="187">
        <f t="shared" si="11"/>
        <v>0.27773102829600388</v>
      </c>
      <c r="H29" s="187">
        <f t="shared" si="11"/>
        <v>0.27752536057976668</v>
      </c>
      <c r="K29" s="99" t="s">
        <v>550</v>
      </c>
      <c r="N29" s="184">
        <f>N28+1</f>
        <v>2028</v>
      </c>
      <c r="O29" s="9">
        <f>Q17</f>
        <v>1378.4026013526832</v>
      </c>
      <c r="P29" s="50">
        <f>Q20</f>
        <v>372.92466516945342</v>
      </c>
      <c r="Q29" s="9">
        <f>Q23</f>
        <v>246.99832738772531</v>
      </c>
      <c r="R29" s="72">
        <f t="shared" si="9"/>
        <v>0.17919171593650193</v>
      </c>
      <c r="S29" s="72">
        <f t="shared" si="10"/>
        <v>0.27054843396514711</v>
      </c>
    </row>
    <row r="30" spans="1:20">
      <c r="B30" s="99" t="s">
        <v>538</v>
      </c>
      <c r="C30" s="187">
        <f t="shared" ref="C30:H30" si="12">C21/C3</f>
        <v>0.1105994407642043</v>
      </c>
      <c r="D30" s="187">
        <f t="shared" si="12"/>
        <v>9.4256510020143264E-2</v>
      </c>
      <c r="E30" s="187">
        <f t="shared" si="12"/>
        <v>0.12981252385890407</v>
      </c>
      <c r="F30" s="187">
        <f t="shared" si="12"/>
        <v>0.17919171593650193</v>
      </c>
      <c r="G30" s="187">
        <f t="shared" si="12"/>
        <v>0.1889770644396353</v>
      </c>
      <c r="H30" s="187">
        <f t="shared" si="12"/>
        <v>0.19262971334257908</v>
      </c>
      <c r="K30" s="99" t="s">
        <v>551</v>
      </c>
      <c r="N30" s="184">
        <f>N29+1</f>
        <v>2029</v>
      </c>
      <c r="O30" s="9">
        <f>R17</f>
        <v>1462.2741075492611</v>
      </c>
      <c r="P30" s="50">
        <f>R20</f>
        <v>406.11889154027767</v>
      </c>
      <c r="Q30" s="9">
        <f>R23</f>
        <v>276.33626825074691</v>
      </c>
      <c r="R30" s="72">
        <f t="shared" si="9"/>
        <v>0.1889770644396353</v>
      </c>
      <c r="S30" s="72">
        <f t="shared" si="10"/>
        <v>0.27773102829600388</v>
      </c>
    </row>
    <row r="31" spans="1:20">
      <c r="N31" s="184">
        <f>N30+1</f>
        <v>2030</v>
      </c>
      <c r="O31" s="9">
        <f>S17</f>
        <v>1564.9111428652438</v>
      </c>
      <c r="P31" s="50">
        <f>S20</f>
        <v>434.30252919897157</v>
      </c>
      <c r="Q31" s="9">
        <f>S23</f>
        <v>301.44838485673978</v>
      </c>
      <c r="R31" s="72">
        <f t="shared" si="9"/>
        <v>0.19262971334257911</v>
      </c>
      <c r="S31" s="72">
        <f t="shared" si="10"/>
        <v>0.27752536057976668</v>
      </c>
    </row>
    <row r="32" spans="1:20">
      <c r="B32" s="1" t="s">
        <v>539</v>
      </c>
    </row>
    <row r="33" spans="1:11">
      <c r="B33" s="99" t="s">
        <v>548</v>
      </c>
      <c r="C33" s="187">
        <f>C21/BS!C41</f>
        <v>0.26996963405234103</v>
      </c>
      <c r="D33" s="187">
        <f>D21/BS!H41</f>
        <v>0.38333068730922421</v>
      </c>
      <c r="E33" s="187">
        <f>E21/BS!L41</f>
        <v>0.46034826326647915</v>
      </c>
      <c r="F33" s="187">
        <f>F21/BS!P41</f>
        <v>0.4006075156735594</v>
      </c>
      <c r="G33" s="187">
        <f>G21/BS!T41</f>
        <v>0.30948326854724689</v>
      </c>
      <c r="H33" s="187">
        <f>H21/BS!X41</f>
        <v>0.2523966066584501</v>
      </c>
      <c r="K33" s="99" t="s">
        <v>552</v>
      </c>
    </row>
    <row r="34" spans="1:11">
      <c r="B34" s="99" t="s">
        <v>540</v>
      </c>
      <c r="C34" s="187">
        <f>C16/(BS!C25+BS!C31+BS!C41)</f>
        <v>0.15509894755811385</v>
      </c>
      <c r="D34" s="187">
        <f>D16/(BS!H25+BS!H31+BS!H41)</f>
        <v>0.29495262889306456</v>
      </c>
      <c r="E34" s="187">
        <f>E16/(BS!L25+BS!L31+BS!L41)</f>
        <v>0.49027568352483558</v>
      </c>
      <c r="F34" s="187">
        <f>F16/(BS!P25+BS!P31+BS!P41)</f>
        <v>0.44730827460613687</v>
      </c>
      <c r="G34" s="187">
        <f>G16/(BS!T25+BS!T31+BS!T41)</f>
        <v>0.37201244337332301</v>
      </c>
      <c r="H34" s="187">
        <f>H16/(BS!X25+BS!X31+BS!X41)</f>
        <v>0.31616939903593388</v>
      </c>
      <c r="K34" s="99" t="s">
        <v>554</v>
      </c>
    </row>
    <row r="36" spans="1:11">
      <c r="B36" s="1" t="s">
        <v>541</v>
      </c>
    </row>
    <row r="37" spans="1:11">
      <c r="B37" s="99" t="s">
        <v>542</v>
      </c>
      <c r="C37" s="188">
        <f>(BS!C25+BS!C31)/BS!C41</f>
        <v>2.52717774257296</v>
      </c>
      <c r="D37" s="188">
        <f>(BS!H25+BS!H31)/BS!H41</f>
        <v>1.9208759616961006</v>
      </c>
      <c r="E37" s="188">
        <f>(BS!L25+BS!L31)/BS!L41</f>
        <v>0.63440400997085933</v>
      </c>
      <c r="F37" s="188">
        <f>(BS!P25+BS!P31)/BS!P41</f>
        <v>0.35219478517346736</v>
      </c>
      <c r="G37" s="188">
        <f>(BS!T25+BS!T31)/BS!T41</f>
        <v>0.22262989841900097</v>
      </c>
      <c r="H37" s="188">
        <f>(BS!X25+BS!X31)/BS!X41</f>
        <v>0.15011978700651971</v>
      </c>
      <c r="K37" s="99" t="s">
        <v>553</v>
      </c>
    </row>
    <row r="38" spans="1:11">
      <c r="B38" s="99" t="s">
        <v>543</v>
      </c>
      <c r="C38" s="188">
        <f t="shared" ref="C38:H38" si="13">C16/C18</f>
        <v>5.9049208568612626</v>
      </c>
      <c r="D38" s="188">
        <f t="shared" si="13"/>
        <v>4.525660715961247</v>
      </c>
      <c r="E38" s="188">
        <f t="shared" si="13"/>
        <v>10.539704387282423</v>
      </c>
      <c r="F38" s="188">
        <f t="shared" si="13"/>
        <v>47.034485664201405</v>
      </c>
      <c r="G38" s="188">
        <f t="shared" si="13"/>
        <v>59.140343720947918</v>
      </c>
      <c r="H38" s="188">
        <f t="shared" si="13"/>
        <v>75.660187433599759</v>
      </c>
      <c r="K38" s="99" t="s">
        <v>555</v>
      </c>
    </row>
    <row r="40" spans="1:11">
      <c r="B40" s="1" t="s">
        <v>544</v>
      </c>
    </row>
    <row r="41" spans="1:11">
      <c r="B41" s="99" t="s">
        <v>545</v>
      </c>
      <c r="C41" s="188">
        <f>C3/(BS!C16+BS!C17)</f>
        <v>1.0222773146140061</v>
      </c>
      <c r="D41" s="188">
        <f>D3/(BS!H16+BS!H17)</f>
        <v>2.8263206791986177</v>
      </c>
      <c r="E41" s="188">
        <f>E3/(BS!L16+BS!L17)</f>
        <v>5.3212368162654791</v>
      </c>
      <c r="F41" s="188">
        <f>F3/(BS!P16+BS!P17)</f>
        <v>6.5212310907503097</v>
      </c>
      <c r="G41" s="188">
        <f>G3/(BS!T16+BS!T17)</f>
        <v>8.0608222331741306</v>
      </c>
      <c r="H41" s="188">
        <f>H3/(BS!X16+BS!X17)</f>
        <v>10.05164828463262</v>
      </c>
      <c r="K41" s="99" t="s">
        <v>556</v>
      </c>
    </row>
    <row r="42" spans="1:11">
      <c r="B42" s="99" t="s">
        <v>546</v>
      </c>
      <c r="C42" s="188">
        <f>C3/BS!C11</f>
        <v>1.8699167312333376</v>
      </c>
      <c r="D42" s="188">
        <f>D3/BS!H11</f>
        <v>6.5650990029032892</v>
      </c>
      <c r="E42" s="188">
        <f>E3/BS!L11</f>
        <v>2.8707070890657906</v>
      </c>
      <c r="F42" s="188">
        <f>F3/BS!P11</f>
        <v>2.8492716617575558</v>
      </c>
      <c r="G42" s="188">
        <f>G3/BS!T11</f>
        <v>2.7624593222467464</v>
      </c>
      <c r="H42" s="188">
        <f>H3/BS!X11</f>
        <v>2.746464914962504</v>
      </c>
      <c r="K42" s="99" t="s">
        <v>557</v>
      </c>
    </row>
    <row r="43" spans="1:11">
      <c r="B43" s="99" t="s">
        <v>547</v>
      </c>
      <c r="C43" s="188">
        <f>C3/BS!C10</f>
        <v>17.365831706770273</v>
      </c>
      <c r="D43" s="188">
        <f>D3/BS!H10</f>
        <v>12.923053604246681</v>
      </c>
      <c r="E43" s="188">
        <f>E3/BS!L10</f>
        <v>20.228255742378145</v>
      </c>
      <c r="F43" s="188">
        <f>F3/BS!P10</f>
        <v>20.661751854871099</v>
      </c>
      <c r="G43" s="188">
        <f>G3/BS!T10</f>
        <v>21.276137405418787</v>
      </c>
      <c r="H43" s="188">
        <f>H3/BS!X10</f>
        <v>18.422903729162698</v>
      </c>
      <c r="K43" s="99" t="s">
        <v>558</v>
      </c>
    </row>
    <row r="44" spans="1:11" hidden="1">
      <c r="B44" s="99" t="s">
        <v>560</v>
      </c>
      <c r="C44" s="99" t="s">
        <v>559</v>
      </c>
      <c r="D44" s="99">
        <f>C3/BS!C26</f>
        <v>4.4049521431714336</v>
      </c>
      <c r="E44" s="99">
        <f>D3/BS!H26</f>
        <v>40.468620052704608</v>
      </c>
      <c r="F44" s="99">
        <f>E3/BS!L26</f>
        <v>23466.698014806403</v>
      </c>
      <c r="G44" s="99">
        <f>F3/BS!P26</f>
        <v>22675.977016875291</v>
      </c>
      <c r="H44" s="99">
        <f>G3/BS!T26</f>
        <v>21970.125191328436</v>
      </c>
      <c r="I44" s="9">
        <f>H3/BS!X26</f>
        <v>17381.379065887049</v>
      </c>
    </row>
    <row r="47" spans="1:11" s="47" customFormat="1">
      <c r="A47" s="1"/>
      <c r="B47" s="48" t="s">
        <v>568</v>
      </c>
    </row>
    <row r="48" spans="1:11">
      <c r="B48" s="99" t="s">
        <v>562</v>
      </c>
      <c r="C48" s="105">
        <f t="shared" ref="C48:H48" si="14">C21/C3</f>
        <v>0.1105994407642043</v>
      </c>
      <c r="D48" s="105">
        <f t="shared" si="14"/>
        <v>9.4256510020143264E-2</v>
      </c>
      <c r="E48" s="105">
        <f t="shared" si="14"/>
        <v>0.12981252385890407</v>
      </c>
      <c r="F48" s="105">
        <f t="shared" si="14"/>
        <v>0.17919171593650193</v>
      </c>
      <c r="G48" s="105">
        <f t="shared" si="14"/>
        <v>0.1889770644396353</v>
      </c>
      <c r="H48" s="105">
        <f t="shared" si="14"/>
        <v>0.19262971334257908</v>
      </c>
      <c r="K48" s="99" t="s">
        <v>564</v>
      </c>
    </row>
    <row r="49" spans="1:12">
      <c r="B49" s="99" t="s">
        <v>567</v>
      </c>
      <c r="C49" s="195">
        <f>C3/BS!C22</f>
        <v>0.56528935637741529</v>
      </c>
      <c r="D49" s="195">
        <f>D3/BS!H22</f>
        <v>1.2839925209891003</v>
      </c>
      <c r="E49" s="195">
        <f>E3/BS!L22</f>
        <v>2.0697812603199681</v>
      </c>
      <c r="F49" s="195">
        <f>F3/BS!P22</f>
        <v>1.5974297168516203</v>
      </c>
      <c r="G49" s="195">
        <f>G3/BS!T22</f>
        <v>1.3045930376553818</v>
      </c>
      <c r="H49" s="195">
        <f>H3/BS!X22</f>
        <v>1.1155248850721013</v>
      </c>
      <c r="K49" s="99" t="s">
        <v>565</v>
      </c>
    </row>
    <row r="50" spans="1:12">
      <c r="B50" s="99" t="s">
        <v>563</v>
      </c>
      <c r="C50" s="164">
        <f>BS!C22/BS!C41</f>
        <v>4.3180849150177476</v>
      </c>
      <c r="D50" s="164">
        <f>BS!H22/BS!H41</f>
        <v>3.1673768516731586</v>
      </c>
      <c r="E50" s="164">
        <f>BS!L22/BS!L41</f>
        <v>1.7133475377968002</v>
      </c>
      <c r="F50" s="164">
        <f>BS!P22/BS!P41</f>
        <v>1.399520953603322</v>
      </c>
      <c r="G50" s="164">
        <f>BS!T22/BS!T41</f>
        <v>1.2553158722085653</v>
      </c>
      <c r="H50" s="164">
        <f>BS!X22/BS!X41</f>
        <v>1.1745755882281137</v>
      </c>
      <c r="K50" s="99" t="s">
        <v>566</v>
      </c>
    </row>
    <row r="55" spans="1:12">
      <c r="B55" s="197" t="s">
        <v>580</v>
      </c>
      <c r="C55" s="197"/>
      <c r="D55" s="197"/>
      <c r="E55" s="197"/>
      <c r="F55" s="197"/>
      <c r="G55" s="197"/>
      <c r="H55" s="197"/>
      <c r="I55" s="197"/>
      <c r="J55" s="197"/>
      <c r="K55" s="197"/>
      <c r="L55" s="197"/>
    </row>
    <row r="56" spans="1:12">
      <c r="A56" s="9"/>
      <c r="B56" s="9"/>
    </row>
    <row r="57" spans="1:12">
      <c r="A57" s="1" t="s">
        <v>367</v>
      </c>
      <c r="B57" t="s">
        <v>581</v>
      </c>
    </row>
    <row r="58" spans="1:12">
      <c r="B58" t="s">
        <v>582</v>
      </c>
    </row>
    <row r="59" spans="1:12">
      <c r="B59" t="s">
        <v>584</v>
      </c>
    </row>
    <row r="60" spans="1:12">
      <c r="B60" t="s">
        <v>583</v>
      </c>
    </row>
    <row r="62" spans="1:12">
      <c r="A62" s="1" t="s">
        <v>367</v>
      </c>
      <c r="B62" t="s">
        <v>585</v>
      </c>
    </row>
    <row r="63" spans="1:12">
      <c r="B63" t="s">
        <v>587</v>
      </c>
    </row>
    <row r="64" spans="1:12">
      <c r="B64" t="s">
        <v>589</v>
      </c>
    </row>
    <row r="65" spans="1:7">
      <c r="B65" t="s">
        <v>588</v>
      </c>
    </row>
    <row r="66" spans="1:7">
      <c r="B66" t="s">
        <v>586</v>
      </c>
    </row>
    <row r="68" spans="1:7">
      <c r="A68" s="1" t="s">
        <v>367</v>
      </c>
      <c r="B68" t="s">
        <v>596</v>
      </c>
    </row>
    <row r="69" spans="1:7">
      <c r="A69" s="1"/>
      <c r="B69" t="s">
        <v>597</v>
      </c>
    </row>
    <row r="70" spans="1:7">
      <c r="A70" s="1"/>
      <c r="B70" s="128" t="s">
        <v>595</v>
      </c>
    </row>
    <row r="71" spans="1:7" ht="5.55" customHeight="1">
      <c r="A71" s="1"/>
      <c r="B71" s="128"/>
    </row>
    <row r="72" spans="1:7">
      <c r="B72" t="s">
        <v>590</v>
      </c>
    </row>
    <row r="73" spans="1:7">
      <c r="A73" s="1" t="s">
        <v>367</v>
      </c>
      <c r="B73" s="192" t="s">
        <v>591</v>
      </c>
    </row>
    <row r="74" spans="1:7">
      <c r="A74" s="1" t="s">
        <v>367</v>
      </c>
      <c r="B74" s="191" t="s">
        <v>592</v>
      </c>
    </row>
    <row r="75" spans="1:7">
      <c r="A75" s="1" t="s">
        <v>367</v>
      </c>
      <c r="B75" s="191" t="s">
        <v>593</v>
      </c>
    </row>
    <row r="76" spans="1:7">
      <c r="A76" s="1" t="s">
        <v>367</v>
      </c>
      <c r="B76" s="191" t="s">
        <v>594</v>
      </c>
    </row>
    <row r="77" spans="1:7" ht="3" customHeight="1">
      <c r="A77" s="1"/>
      <c r="B77" s="191"/>
    </row>
    <row r="78" spans="1:7">
      <c r="B78" s="193" t="s">
        <v>599</v>
      </c>
      <c r="C78" s="194"/>
      <c r="D78" s="194"/>
      <c r="E78" s="194"/>
      <c r="F78" s="194"/>
      <c r="G78" s="194"/>
    </row>
    <row r="79" spans="1:7">
      <c r="B79" s="193" t="s">
        <v>598</v>
      </c>
      <c r="C79" s="194"/>
      <c r="D79" s="194"/>
      <c r="E79" s="194"/>
      <c r="F79" s="194"/>
      <c r="G79" s="194"/>
    </row>
  </sheetData>
  <mergeCells count="1">
    <mergeCell ref="B55:L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2DF1-0418-4231-8156-3242126334DD}">
  <sheetPr>
    <tabColor theme="3" tint="-0.249977111117893"/>
  </sheetPr>
  <dimension ref="A1:AD133"/>
  <sheetViews>
    <sheetView showGridLines="0" zoomScaleNormal="100" workbookViewId="0">
      <pane xSplit="4" ySplit="4" topLeftCell="E29" activePane="bottomRight" state="frozen"/>
      <selection activeCell="H41" sqref="H41"/>
      <selection pane="topRight" activeCell="H41" sqref="H41"/>
      <selection pane="bottomLeft" activeCell="H41" sqref="H41"/>
      <selection pane="bottomRight" activeCell="G49" sqref="G49"/>
    </sheetView>
  </sheetViews>
  <sheetFormatPr defaultColWidth="0" defaultRowHeight="14.4" outlineLevelRow="1" outlineLevelCol="1"/>
  <cols>
    <col min="1" max="1" width="4.109375" style="9" bestFit="1" customWidth="1"/>
    <col min="2" max="2" width="28" style="9" bestFit="1" customWidth="1"/>
    <col min="3" max="3" width="11.33203125" style="9" bestFit="1" customWidth="1"/>
    <col min="4" max="4" width="12.44140625" style="9" customWidth="1"/>
    <col min="5" max="7" width="15.33203125" style="9" hidden="1" customWidth="1" outlineLevel="1"/>
    <col min="8" max="8" width="18.109375" style="9" hidden="1" customWidth="1" outlineLevel="1"/>
    <col min="9" max="9" width="18.77734375" style="9" customWidth="1" collapsed="1"/>
    <col min="10" max="11" width="15.33203125" style="9" hidden="1" customWidth="1" outlineLevel="1"/>
    <col min="12" max="12" width="15.6640625" style="9" hidden="1" customWidth="1" outlineLevel="1"/>
    <col min="13" max="13" width="15.33203125" style="9" hidden="1" customWidth="1" outlineLevel="1"/>
    <col min="14" max="14" width="18.77734375" style="9" bestFit="1" customWidth="1" collapsed="1"/>
    <col min="15" max="16" width="15.33203125" style="9" hidden="1" customWidth="1" outlineLevel="1"/>
    <col min="17" max="17" width="15.6640625" style="9" hidden="1" customWidth="1" outlineLevel="1"/>
    <col min="18" max="18" width="15.33203125" style="9" hidden="1" customWidth="1" outlineLevel="1"/>
    <col min="19" max="19" width="19.109375" style="9" bestFit="1" customWidth="1" collapsed="1"/>
    <col min="20" max="21" width="15.33203125" style="9" hidden="1" customWidth="1" outlineLevel="1"/>
    <col min="22" max="22" width="15.6640625" style="9" hidden="1" customWidth="1" outlineLevel="1"/>
    <col min="23" max="23" width="15.33203125" style="9" hidden="1" customWidth="1" outlineLevel="1"/>
    <col min="24" max="24" width="18.77734375" style="9" bestFit="1" customWidth="1" collapsed="1"/>
    <col min="25" max="26" width="15.33203125" style="9" hidden="1" customWidth="1" outlineLevel="1"/>
    <col min="27" max="27" width="15.6640625" style="9" hidden="1" customWidth="1" outlineLevel="1"/>
    <col min="28" max="28" width="18.44140625" style="9" hidden="1" customWidth="1" outlineLevel="1"/>
    <col min="29" max="29" width="18.77734375" style="9" bestFit="1" customWidth="1" collapsed="1"/>
    <col min="30" max="30" width="14.109375" style="9" hidden="1" customWidth="1"/>
    <col min="31" max="16384" width="8.6640625" style="9" hidden="1"/>
  </cols>
  <sheetData>
    <row r="1" spans="1:29">
      <c r="H1" s="9">
        <f>365*1.33/4</f>
        <v>121.36250000000001</v>
      </c>
    </row>
    <row r="2" spans="1:29">
      <c r="B2" s="80" t="s">
        <v>60</v>
      </c>
      <c r="C2" s="87"/>
      <c r="D2" s="87"/>
      <c r="E2" s="81">
        <f t="shared" ref="E2:AB2" si="0">300/4</f>
        <v>75</v>
      </c>
      <c r="F2" s="81">
        <f t="shared" si="0"/>
        <v>75</v>
      </c>
      <c r="G2" s="81">
        <f t="shared" si="0"/>
        <v>75</v>
      </c>
      <c r="H2" s="81">
        <f t="shared" si="0"/>
        <v>75</v>
      </c>
      <c r="I2" s="108"/>
      <c r="J2" s="81">
        <f t="shared" si="0"/>
        <v>75</v>
      </c>
      <c r="K2" s="81">
        <f t="shared" si="0"/>
        <v>75</v>
      </c>
      <c r="L2" s="81">
        <f t="shared" si="0"/>
        <v>75</v>
      </c>
      <c r="M2" s="81">
        <f t="shared" si="0"/>
        <v>75</v>
      </c>
      <c r="N2" s="81"/>
      <c r="O2" s="81">
        <f t="shared" si="0"/>
        <v>75</v>
      </c>
      <c r="P2" s="81">
        <f t="shared" si="0"/>
        <v>75</v>
      </c>
      <c r="Q2" s="81">
        <f t="shared" si="0"/>
        <v>75</v>
      </c>
      <c r="R2" s="81">
        <f t="shared" si="0"/>
        <v>75</v>
      </c>
      <c r="S2" s="81"/>
      <c r="T2" s="81">
        <f t="shared" si="0"/>
        <v>75</v>
      </c>
      <c r="U2" s="81">
        <f t="shared" si="0"/>
        <v>75</v>
      </c>
      <c r="V2" s="81">
        <f t="shared" si="0"/>
        <v>75</v>
      </c>
      <c r="W2" s="81">
        <f t="shared" si="0"/>
        <v>75</v>
      </c>
      <c r="X2" s="81"/>
      <c r="Y2" s="81">
        <f t="shared" si="0"/>
        <v>75</v>
      </c>
      <c r="Z2" s="81">
        <f t="shared" si="0"/>
        <v>75</v>
      </c>
      <c r="AA2" s="81">
        <f t="shared" si="0"/>
        <v>75</v>
      </c>
      <c r="AB2" s="81">
        <f t="shared" si="0"/>
        <v>75</v>
      </c>
      <c r="AC2" s="81"/>
    </row>
    <row r="3" spans="1:29">
      <c r="B3" s="81" t="s">
        <v>58</v>
      </c>
      <c r="C3" s="87"/>
      <c r="D3" s="87"/>
      <c r="E3" s="81">
        <v>1</v>
      </c>
      <c r="F3" s="81">
        <f t="shared" ref="F3:AB3" si="1">E3+1</f>
        <v>2</v>
      </c>
      <c r="G3" s="81">
        <f t="shared" si="1"/>
        <v>3</v>
      </c>
      <c r="H3" s="81">
        <f t="shared" si="1"/>
        <v>4</v>
      </c>
      <c r="I3" s="108"/>
      <c r="J3" s="81">
        <f>H3+1</f>
        <v>5</v>
      </c>
      <c r="K3" s="81">
        <f t="shared" si="1"/>
        <v>6</v>
      </c>
      <c r="L3" s="81">
        <f t="shared" si="1"/>
        <v>7</v>
      </c>
      <c r="M3" s="81">
        <f t="shared" si="1"/>
        <v>8</v>
      </c>
      <c r="N3" s="81"/>
      <c r="O3" s="81">
        <f>M3+1</f>
        <v>9</v>
      </c>
      <c r="P3" s="81">
        <f t="shared" si="1"/>
        <v>10</v>
      </c>
      <c r="Q3" s="81">
        <f t="shared" si="1"/>
        <v>11</v>
      </c>
      <c r="R3" s="81">
        <f t="shared" si="1"/>
        <v>12</v>
      </c>
      <c r="S3" s="81"/>
      <c r="T3" s="81">
        <f>R3+1</f>
        <v>13</v>
      </c>
      <c r="U3" s="81">
        <f t="shared" si="1"/>
        <v>14</v>
      </c>
      <c r="V3" s="81">
        <f t="shared" si="1"/>
        <v>15</v>
      </c>
      <c r="W3" s="81">
        <f t="shared" si="1"/>
        <v>16</v>
      </c>
      <c r="X3" s="81"/>
      <c r="Y3" s="81">
        <f>W3+1</f>
        <v>17</v>
      </c>
      <c r="Z3" s="81">
        <f t="shared" si="1"/>
        <v>18</v>
      </c>
      <c r="AA3" s="81">
        <f t="shared" si="1"/>
        <v>19</v>
      </c>
      <c r="AB3" s="81">
        <f t="shared" si="1"/>
        <v>20</v>
      </c>
      <c r="AC3" s="81"/>
    </row>
    <row r="4" spans="1:29">
      <c r="B4" s="81" t="s">
        <v>413</v>
      </c>
      <c r="C4" s="87"/>
      <c r="D4" s="87"/>
      <c r="E4" s="82">
        <v>45838</v>
      </c>
      <c r="F4" s="83">
        <f>EOMONTH(E4,3)</f>
        <v>45930</v>
      </c>
      <c r="G4" s="83">
        <f>EOMONTH(F4,3)</f>
        <v>46022</v>
      </c>
      <c r="H4" s="83">
        <f>EOMONTH(G4,3)</f>
        <v>46112</v>
      </c>
      <c r="I4" s="107" t="s">
        <v>375</v>
      </c>
      <c r="J4" s="83">
        <f>EOMONTH(H4,3)</f>
        <v>46203</v>
      </c>
      <c r="K4" s="83">
        <f>EOMONTH(J4,3)</f>
        <v>46295</v>
      </c>
      <c r="L4" s="83">
        <f>EOMONTH(K4,3)</f>
        <v>46387</v>
      </c>
      <c r="M4" s="83">
        <f>EOMONTH(L4,3)</f>
        <v>46477</v>
      </c>
      <c r="N4" s="107" t="s">
        <v>376</v>
      </c>
      <c r="O4" s="83">
        <f>EOMONTH(M4,3)</f>
        <v>46568</v>
      </c>
      <c r="P4" s="83">
        <f>EOMONTH(O4,3)</f>
        <v>46660</v>
      </c>
      <c r="Q4" s="83">
        <f>EOMONTH(P4,3)</f>
        <v>46752</v>
      </c>
      <c r="R4" s="83">
        <f>EOMONTH(Q4,3)</f>
        <v>46843</v>
      </c>
      <c r="S4" s="107" t="s">
        <v>377</v>
      </c>
      <c r="T4" s="83">
        <f>EOMONTH(R4,3)</f>
        <v>46934</v>
      </c>
      <c r="U4" s="83">
        <f>EOMONTH(T4,3)</f>
        <v>47026</v>
      </c>
      <c r="V4" s="83">
        <f>EOMONTH(U4,3)</f>
        <v>47118</v>
      </c>
      <c r="W4" s="83">
        <f>EOMONTH(V4,3)</f>
        <v>47208</v>
      </c>
      <c r="X4" s="83" t="s">
        <v>378</v>
      </c>
      <c r="Y4" s="83">
        <f>EOMONTH(W4,3)</f>
        <v>47299</v>
      </c>
      <c r="Z4" s="83">
        <f>EOMONTH(Y4,3)</f>
        <v>47391</v>
      </c>
      <c r="AA4" s="83">
        <f>EOMONTH(Z4,3)</f>
        <v>47483</v>
      </c>
      <c r="AB4" s="83">
        <f>EOMONTH(AA4,3)</f>
        <v>47573</v>
      </c>
      <c r="AC4" s="83" t="s">
        <v>379</v>
      </c>
    </row>
    <row r="5" spans="1:29" s="47" customFormat="1" ht="4.95" customHeight="1"/>
    <row r="6" spans="1:29" s="47" customFormat="1">
      <c r="A6" s="100" t="s">
        <v>367</v>
      </c>
      <c r="B6" s="47" t="s">
        <v>374</v>
      </c>
      <c r="D6" s="9"/>
    </row>
    <row r="7" spans="1:29">
      <c r="A7" s="102"/>
      <c r="B7" s="48" t="s">
        <v>75</v>
      </c>
      <c r="C7" s="49"/>
      <c r="D7" s="49"/>
      <c r="E7" s="49">
        <f>Sugar!E71</f>
        <v>786964285.71428573</v>
      </c>
      <c r="F7" s="49">
        <f>Sugar!F71</f>
        <v>941571428.57142866</v>
      </c>
      <c r="G7" s="49">
        <f>Sugar!G71</f>
        <v>593478571.42857134</v>
      </c>
      <c r="H7" s="49">
        <f>Sugar!H71</f>
        <v>590609571.42857146</v>
      </c>
      <c r="I7" s="49">
        <f>SUM(E7:H7)</f>
        <v>2912623857.1428576</v>
      </c>
      <c r="J7" s="49">
        <f>Sugar!J71</f>
        <v>689044500</v>
      </c>
      <c r="K7" s="49">
        <f>Sugar!K71</f>
        <v>620140050</v>
      </c>
      <c r="L7" s="49">
        <f>Sugar!L71</f>
        <v>656942670</v>
      </c>
      <c r="M7" s="49">
        <f>Sugar!M71</f>
        <v>719172887.39999998</v>
      </c>
      <c r="N7" s="49">
        <f>SUM(J7:M7)</f>
        <v>2685300107.4000001</v>
      </c>
      <c r="O7" s="49">
        <f>Sugar!O71</f>
        <v>730069446.29999995</v>
      </c>
      <c r="P7" s="49">
        <f>Sugar!P71</f>
        <v>657062501.66999996</v>
      </c>
      <c r="Q7" s="49">
        <f>Sugar!Q71</f>
        <v>773404166.778</v>
      </c>
      <c r="R7" s="49">
        <f>Sugar!R71</f>
        <v>830254516.69116008</v>
      </c>
      <c r="S7" s="49">
        <f>SUM(O7:R7)</f>
        <v>2990790631.4391599</v>
      </c>
      <c r="T7" s="49">
        <f>Sugar!T71</f>
        <v>842834130.58042002</v>
      </c>
      <c r="U7" s="49">
        <f>Sugar!U71</f>
        <v>758550717.52237797</v>
      </c>
      <c r="V7" s="49">
        <f>Sugar!V71</f>
        <v>844010047.83482528</v>
      </c>
      <c r="W7" s="49">
        <f>Sugar!W71</f>
        <v>1006099170.5236615</v>
      </c>
      <c r="X7" s="49">
        <f>SUM(T7:W7)</f>
        <v>3451494066.4612846</v>
      </c>
      <c r="Y7" s="49">
        <f>Sugar!Y71</f>
        <v>1021343097.3497775</v>
      </c>
      <c r="Z7" s="49">
        <f>Sugar!Z71</f>
        <v>919208787.61479986</v>
      </c>
      <c r="AA7" s="49">
        <f>Sugar!AA71</f>
        <v>927680585.84098661</v>
      </c>
      <c r="AB7" s="49">
        <f>Sugar!AB71</f>
        <v>1211929528.8850172</v>
      </c>
      <c r="AC7" s="49">
        <f>SUM(Y7:AB7)</f>
        <v>4080161999.6905813</v>
      </c>
    </row>
    <row r="8" spans="1:29">
      <c r="B8" s="48" t="s">
        <v>22</v>
      </c>
      <c r="C8" s="49"/>
      <c r="D8" s="49"/>
      <c r="E8" s="49">
        <f>Sugar!E72</f>
        <v>42900000</v>
      </c>
      <c r="F8" s="49">
        <f>Sugar!F72</f>
        <v>38610000</v>
      </c>
      <c r="G8" s="49">
        <f>Sugar!G72</f>
        <v>103223999.99999999</v>
      </c>
      <c r="H8" s="49">
        <f>Sugar!H72</f>
        <v>106959600</v>
      </c>
      <c r="I8" s="49">
        <f>SUM(E8:H8)</f>
        <v>291693600</v>
      </c>
      <c r="J8" s="49">
        <f>Sugar!J72</f>
        <v>35653200</v>
      </c>
      <c r="K8" s="49">
        <f>Sugar!K72</f>
        <v>32087880</v>
      </c>
      <c r="L8" s="49">
        <f>Sugar!L72</f>
        <v>109772256</v>
      </c>
      <c r="M8" s="49">
        <f>Sugar!M72</f>
        <v>132295838.39999999</v>
      </c>
      <c r="N8" s="49">
        <f>SUM(J8:M8)</f>
        <v>309809174.39999998</v>
      </c>
      <c r="O8" s="49">
        <f>Sugar!O72</f>
        <v>44098612.800000004</v>
      </c>
      <c r="P8" s="49">
        <f>Sugar!P72</f>
        <v>39688751.520000011</v>
      </c>
      <c r="Q8" s="49">
        <f>Sugar!Q72</f>
        <v>130247889.024</v>
      </c>
      <c r="R8" s="49">
        <f>Sugar!R72</f>
        <v>152593183.35359997</v>
      </c>
      <c r="S8" s="49">
        <f>SUM(O8:R8)</f>
        <v>366628436.69760001</v>
      </c>
      <c r="T8" s="49">
        <f>Sugar!T72</f>
        <v>50864394.451200001</v>
      </c>
      <c r="U8" s="49">
        <f>Sugar!U72</f>
        <v>45777955.006080002</v>
      </c>
      <c r="V8" s="49">
        <f>Sugar!V72</f>
        <v>141877151.55609602</v>
      </c>
      <c r="W8" s="49">
        <f>Sugar!W72</f>
        <v>186651172.73341441</v>
      </c>
      <c r="X8" s="49">
        <f>SUM(T8:W8)</f>
        <v>425170673.74679041</v>
      </c>
      <c r="Y8" s="49">
        <f>Sugar!Y72</f>
        <v>62217057.577804804</v>
      </c>
      <c r="Z8" s="49">
        <f>Sugar!Z72</f>
        <v>55995351.820024319</v>
      </c>
      <c r="AA8" s="49">
        <f>Sugar!AA72</f>
        <v>155457364.60622439</v>
      </c>
      <c r="AB8" s="49">
        <f>Sugar!AB72</f>
        <v>226466604.69093364</v>
      </c>
      <c r="AC8" s="49">
        <f>SUM(Y8:AB8)</f>
        <v>500136378.69498712</v>
      </c>
    </row>
    <row r="9" spans="1:29">
      <c r="B9" s="48" t="s">
        <v>277</v>
      </c>
      <c r="C9" s="49"/>
      <c r="D9" s="49"/>
      <c r="E9" s="49">
        <f>Sugar!E74</f>
        <v>0</v>
      </c>
      <c r="F9" s="49">
        <f>Sugar!F74</f>
        <v>0</v>
      </c>
      <c r="G9" s="49">
        <f>Sugar!G74</f>
        <v>9071999.9999999981</v>
      </c>
      <c r="H9" s="49">
        <f>Sugar!H74</f>
        <v>11088000</v>
      </c>
      <c r="I9" s="49">
        <f>SUM(E9:H9)</f>
        <v>20160000</v>
      </c>
      <c r="J9" s="49">
        <f>Sugar!J74</f>
        <v>0</v>
      </c>
      <c r="K9" s="49">
        <f>Sugar!K74</f>
        <v>0</v>
      </c>
      <c r="L9" s="49">
        <f>Sugar!L74</f>
        <v>9720000</v>
      </c>
      <c r="M9" s="49">
        <f>Sugar!M74</f>
        <v>14040000</v>
      </c>
      <c r="N9" s="49">
        <f>SUM(J9:M9)</f>
        <v>23760000</v>
      </c>
      <c r="O9" s="49">
        <f>Sugar!O74</f>
        <v>0</v>
      </c>
      <c r="P9" s="49">
        <f>Sugar!P74</f>
        <v>0</v>
      </c>
      <c r="Q9" s="49">
        <f>Sugar!Q74</f>
        <v>11520000</v>
      </c>
      <c r="R9" s="49">
        <f>Sugar!R74</f>
        <v>16128000</v>
      </c>
      <c r="S9" s="49">
        <f>SUM(O9:R9)</f>
        <v>27648000</v>
      </c>
      <c r="T9" s="49">
        <f>Sugar!T74</f>
        <v>0</v>
      </c>
      <c r="U9" s="49">
        <f>Sugar!U74</f>
        <v>0</v>
      </c>
      <c r="V9" s="49">
        <f>Sugar!V74</f>
        <v>12528000</v>
      </c>
      <c r="W9" s="49">
        <f>Sugar!W74</f>
        <v>20044800</v>
      </c>
      <c r="X9" s="49">
        <f>SUM(T9:W9)</f>
        <v>32572800</v>
      </c>
      <c r="Y9" s="49">
        <f>Sugar!Y74</f>
        <v>0</v>
      </c>
      <c r="Z9" s="49">
        <f>Sugar!Z74</f>
        <v>0</v>
      </c>
      <c r="AA9" s="49">
        <f>Sugar!AA74</f>
        <v>13680000</v>
      </c>
      <c r="AB9" s="49">
        <f>Sugar!AB74</f>
        <v>24624000</v>
      </c>
      <c r="AC9" s="49">
        <f>SUM(Y9:AB9)</f>
        <v>38304000</v>
      </c>
    </row>
    <row r="10" spans="1:29">
      <c r="B10" s="48" t="s">
        <v>276</v>
      </c>
      <c r="C10" s="49"/>
      <c r="D10" s="49"/>
      <c r="E10" s="49">
        <f>Sugar!E73</f>
        <v>0</v>
      </c>
      <c r="F10" s="49">
        <f>Sugar!F73</f>
        <v>0</v>
      </c>
      <c r="G10" s="49">
        <f>Sugar!G73</f>
        <v>0</v>
      </c>
      <c r="H10" s="49">
        <f>Sugar!H73</f>
        <v>0</v>
      </c>
      <c r="I10" s="49">
        <f>SUM(E10:H10)</f>
        <v>0</v>
      </c>
      <c r="J10" s="49">
        <f>Sugar!J73</f>
        <v>0</v>
      </c>
      <c r="K10" s="49">
        <f>Sugar!K73</f>
        <v>0</v>
      </c>
      <c r="L10" s="49">
        <f>Sugar!L73</f>
        <v>0</v>
      </c>
      <c r="M10" s="49">
        <f>Sugar!M73</f>
        <v>0</v>
      </c>
      <c r="N10" s="49">
        <f>SUM(J10:M10)</f>
        <v>0</v>
      </c>
      <c r="O10" s="49">
        <f>Sugar!O73</f>
        <v>0</v>
      </c>
      <c r="P10" s="49">
        <f>Sugar!P73</f>
        <v>0</v>
      </c>
      <c r="Q10" s="49">
        <f>Sugar!Q73</f>
        <v>0</v>
      </c>
      <c r="R10" s="49">
        <f>Sugar!R73</f>
        <v>0</v>
      </c>
      <c r="S10" s="49">
        <f>SUM(O10:R10)</f>
        <v>0</v>
      </c>
      <c r="T10" s="49">
        <f>Sugar!T73</f>
        <v>0</v>
      </c>
      <c r="U10" s="49">
        <f>Sugar!U73</f>
        <v>0</v>
      </c>
      <c r="V10" s="49">
        <f>Sugar!V73</f>
        <v>0</v>
      </c>
      <c r="W10" s="49">
        <f>Sugar!W73</f>
        <v>0</v>
      </c>
      <c r="X10" s="49">
        <f>SUM(T10:W10)</f>
        <v>0</v>
      </c>
      <c r="Y10" s="49">
        <f>Sugar!Y73</f>
        <v>0</v>
      </c>
      <c r="Z10" s="49">
        <f>Sugar!Z73</f>
        <v>0</v>
      </c>
      <c r="AA10" s="49">
        <f>Sugar!AA73</f>
        <v>0</v>
      </c>
      <c r="AB10" s="49">
        <f>Sugar!AB73</f>
        <v>0</v>
      </c>
      <c r="AC10" s="49">
        <f>SUM(Y10:AB10)</f>
        <v>0</v>
      </c>
    </row>
    <row r="11" spans="1:29" s="47" customFormat="1" ht="3.45" customHeight="1">
      <c r="D11" s="9"/>
    </row>
    <row r="12" spans="1:29">
      <c r="A12" s="47" t="s">
        <v>367</v>
      </c>
      <c r="B12" s="48" t="s">
        <v>261</v>
      </c>
      <c r="C12" s="49"/>
      <c r="D12" s="49"/>
      <c r="E12" s="99">
        <f>Ethanol!E31</f>
        <v>0</v>
      </c>
      <c r="F12" s="99">
        <f>Ethanol!F31</f>
        <v>0</v>
      </c>
      <c r="G12" s="99">
        <f>Ethanol!G31</f>
        <v>2028068850</v>
      </c>
      <c r="H12" s="99">
        <f>Ethanol!H31</f>
        <v>2101816808.1818182</v>
      </c>
      <c r="I12" s="49">
        <f>SUM(E12:H12)</f>
        <v>4129885658.181818</v>
      </c>
      <c r="J12" s="99">
        <f>Ethanol!J31</f>
        <v>2104498552.1157024</v>
      </c>
      <c r="K12" s="99">
        <f>Ethanol!K31</f>
        <v>2104596070.0769346</v>
      </c>
      <c r="L12" s="99">
        <f>Ethanol!L31</f>
        <v>2161728316.1846161</v>
      </c>
      <c r="M12" s="99">
        <f>Ethanol!M31</f>
        <v>2163805852.406713</v>
      </c>
      <c r="N12" s="49">
        <f>SUM(J12:M12)</f>
        <v>8534628790.7839661</v>
      </c>
      <c r="O12" s="99">
        <f>Ethanol!O31</f>
        <v>2163881399.1784263</v>
      </c>
      <c r="P12" s="99">
        <f>Ethanol!P31</f>
        <v>2163884146.3337607</v>
      </c>
      <c r="Q12" s="99">
        <f>Ethanol!Q31</f>
        <v>2221012946.2303185</v>
      </c>
      <c r="R12" s="99">
        <f>Ethanol!R31</f>
        <v>2223090357.1356478</v>
      </c>
      <c r="S12" s="49">
        <f>SUM(O12:R12)</f>
        <v>8771868848.8781548</v>
      </c>
      <c r="T12" s="99">
        <f>Ethanol!T31</f>
        <v>2223165899.3503876</v>
      </c>
      <c r="U12" s="99">
        <f>Ethanol!U31</f>
        <v>2223168646.340014</v>
      </c>
      <c r="V12" s="99">
        <f>Ethanol!V31</f>
        <v>2280297446.230546</v>
      </c>
      <c r="W12" s="99">
        <f>Ethanol!W31</f>
        <v>2282374857.1356559</v>
      </c>
      <c r="X12" s="49">
        <f>SUM(T12:W12)</f>
        <v>9009006849.0566025</v>
      </c>
      <c r="Y12" s="99">
        <f>Ethanol!Y31</f>
        <v>2282450399.3503881</v>
      </c>
      <c r="Z12" s="99">
        <f>Ethanol!Z31</f>
        <v>2282453146.340014</v>
      </c>
      <c r="AA12" s="99">
        <f>Ethanol!AA31</f>
        <v>2339581946.230546</v>
      </c>
      <c r="AB12" s="99">
        <f>Ethanol!AB31</f>
        <v>2341659357.1356564</v>
      </c>
      <c r="AC12" s="49">
        <f>SUM(Y12:AB12)</f>
        <v>9246144849.0566044</v>
      </c>
    </row>
    <row r="13" spans="1:29" s="47" customFormat="1">
      <c r="B13" s="48" t="s">
        <v>262</v>
      </c>
      <c r="C13" s="48"/>
      <c r="D13" s="49"/>
      <c r="E13" s="99">
        <f>Ethanol!E43</f>
        <v>0</v>
      </c>
      <c r="F13" s="99">
        <f>Ethanol!F43</f>
        <v>0</v>
      </c>
      <c r="G13" s="99">
        <f>Ethanol!G43</f>
        <v>374765949.89917767</v>
      </c>
      <c r="H13" s="99">
        <f>Ethanol!H43</f>
        <v>376639779.64867353</v>
      </c>
      <c r="I13" s="49">
        <f>SUM(E13:H13)</f>
        <v>751405729.5478512</v>
      </c>
      <c r="J13" s="99">
        <f>Ethanol!J43</f>
        <v>378522978.5469169</v>
      </c>
      <c r="K13" s="99">
        <f>Ethanol!K43</f>
        <v>380415593.43965137</v>
      </c>
      <c r="L13" s="99">
        <f>Ethanol!L43</f>
        <v>393087183.27746493</v>
      </c>
      <c r="M13" s="99">
        <f>Ethanol!M43</f>
        <v>395052619.19385219</v>
      </c>
      <c r="N13" s="49">
        <f>SUM(J13:M13)</f>
        <v>1547078374.4578853</v>
      </c>
      <c r="O13" s="99">
        <f>Ethanol!O43</f>
        <v>397027882.28982145</v>
      </c>
      <c r="P13" s="99">
        <f>Ethanol!P43</f>
        <v>399013021.70127052</v>
      </c>
      <c r="Q13" s="99">
        <f>Ethanol!Q43</f>
        <v>411994609.73607212</v>
      </c>
      <c r="R13" s="99">
        <f>Ethanol!R43</f>
        <v>414054582.78475243</v>
      </c>
      <c r="S13" s="49">
        <f>SUM(O13:R13)</f>
        <v>1622090096.5119164</v>
      </c>
      <c r="T13" s="99">
        <f>Ethanol!T43</f>
        <v>416124855.69867617</v>
      </c>
      <c r="U13" s="99">
        <f>Ethanol!U43</f>
        <v>418205479.97716951</v>
      </c>
      <c r="V13" s="99">
        <f>Ethanol!V43</f>
        <v>431504414.24044341</v>
      </c>
      <c r="W13" s="99">
        <f>Ethanol!W43</f>
        <v>433661936.31164563</v>
      </c>
      <c r="X13" s="49">
        <f>SUM(T13:W13)</f>
        <v>1699496686.2279348</v>
      </c>
      <c r="Y13" s="99">
        <f>Ethanol!Y43</f>
        <v>435830245.99320376</v>
      </c>
      <c r="Z13" s="99">
        <f>Ethanol!Z43</f>
        <v>438009397.2231698</v>
      </c>
      <c r="AA13" s="99">
        <f>Ethanol!AA43</f>
        <v>451633196.00692934</v>
      </c>
      <c r="AB13" s="99">
        <f>Ethanol!AB43</f>
        <v>453891361.98696393</v>
      </c>
      <c r="AC13" s="49">
        <f>SUM(Y13:AB13)</f>
        <v>1779364201.2102668</v>
      </c>
    </row>
    <row r="14" spans="1:29" s="47" customFormat="1" ht="3.45" customHeight="1">
      <c r="A14" s="102"/>
      <c r="D14" s="9"/>
    </row>
    <row r="15" spans="1:29">
      <c r="A15" s="47" t="s">
        <v>367</v>
      </c>
      <c r="B15" s="48" t="s">
        <v>85</v>
      </c>
      <c r="C15" s="49"/>
      <c r="D15" s="49">
        <v>5000000</v>
      </c>
      <c r="E15" s="49">
        <f>$D$15/4</f>
        <v>1250000</v>
      </c>
      <c r="F15" s="49">
        <f>$D$15/4</f>
        <v>1250000</v>
      </c>
      <c r="G15" s="49">
        <f>$D$15/4</f>
        <v>1250000</v>
      </c>
      <c r="H15" s="49">
        <f>$D$15/4</f>
        <v>1250000</v>
      </c>
      <c r="I15" s="49">
        <f>SUM(E15:H15)</f>
        <v>5000000</v>
      </c>
      <c r="J15" s="49">
        <f>$D$15/4</f>
        <v>1250000</v>
      </c>
      <c r="K15" s="49">
        <f>$D$15/4</f>
        <v>1250000</v>
      </c>
      <c r="L15" s="49">
        <f>$D$15/4</f>
        <v>1250000</v>
      </c>
      <c r="M15" s="49">
        <f>$D$15/4</f>
        <v>1250000</v>
      </c>
      <c r="N15" s="49">
        <f>SUM(J15:M15)</f>
        <v>5000000</v>
      </c>
      <c r="O15" s="49">
        <f>$D$15/4</f>
        <v>1250000</v>
      </c>
      <c r="P15" s="49">
        <f>$D$15/4</f>
        <v>1250000</v>
      </c>
      <c r="Q15" s="49">
        <f>$D$15/4</f>
        <v>1250000</v>
      </c>
      <c r="R15" s="49">
        <f>$D$15/4</f>
        <v>1250000</v>
      </c>
      <c r="S15" s="49">
        <f>SUM(O15:R15)</f>
        <v>5000000</v>
      </c>
      <c r="T15" s="49">
        <f>$D$15/4</f>
        <v>1250000</v>
      </c>
      <c r="U15" s="49">
        <f>$D$15/4</f>
        <v>1250000</v>
      </c>
      <c r="V15" s="49">
        <f>$D$15/4</f>
        <v>1250000</v>
      </c>
      <c r="W15" s="49">
        <f>$D$15/4</f>
        <v>1250000</v>
      </c>
      <c r="X15" s="49">
        <f>SUM(T15:W15)</f>
        <v>5000000</v>
      </c>
      <c r="Y15" s="49">
        <f>$D$15/4</f>
        <v>1250000</v>
      </c>
      <c r="Z15" s="49">
        <f>$D$15/4</f>
        <v>1250000</v>
      </c>
      <c r="AA15" s="49">
        <f>$D$15/4</f>
        <v>1250000</v>
      </c>
      <c r="AB15" s="49">
        <f>$D$15/4</f>
        <v>1250000</v>
      </c>
      <c r="AC15" s="49">
        <f>SUM(Y15:AB15)</f>
        <v>5000000</v>
      </c>
    </row>
    <row r="16" spans="1:29" s="47" customFormat="1" ht="4.2" customHeight="1"/>
    <row r="17" spans="1:29" s="47" customFormat="1">
      <c r="A17" s="47" t="s">
        <v>367</v>
      </c>
      <c r="B17" s="87" t="s">
        <v>263</v>
      </c>
      <c r="C17" s="87"/>
      <c r="D17" s="87"/>
      <c r="E17" s="87">
        <f>SUM(E7:E10,E12:E13,E15:E15)</f>
        <v>831114285.71428573</v>
      </c>
      <c r="F17" s="87">
        <f>SUM(F7:F10,F12:F13,F15:F15)</f>
        <v>981431428.57142866</v>
      </c>
      <c r="G17" s="87">
        <f>SUM(G7:G10,G12:G13,G15:G15)</f>
        <v>3109859371.3277488</v>
      </c>
      <c r="H17" s="87">
        <f>SUM(H7:H10,H12:H13,H15:H15)</f>
        <v>3188363759.2590632</v>
      </c>
      <c r="I17" s="87">
        <f>SUM(I7:I10,I12:I13,I15)</f>
        <v>8110768844.8725271</v>
      </c>
      <c r="J17" s="87">
        <f>SUM(J7:J10,J12:J13,J15:J15)</f>
        <v>3208969230.6626196</v>
      </c>
      <c r="K17" s="87">
        <f>SUM(K7:K10,K12:K13,K15:K15)</f>
        <v>3138489593.5165863</v>
      </c>
      <c r="L17" s="87">
        <f>SUM(L7:L10,L12:L13,L15:L15)</f>
        <v>3332500425.462081</v>
      </c>
      <c r="M17" s="87">
        <f>SUM(M7:M10,M12:M13,M15:M15)</f>
        <v>3425617197.4005651</v>
      </c>
      <c r="N17" s="87">
        <f>SUM(J17:M17)</f>
        <v>13105576447.041851</v>
      </c>
      <c r="O17" s="87">
        <f>SUM(O7:O10,O12:O13,O15:O15)</f>
        <v>3336327340.5682478</v>
      </c>
      <c r="P17" s="87">
        <f>SUM(P7:P10,P12:P13,P15:P15)</f>
        <v>3260898421.2250314</v>
      </c>
      <c r="Q17" s="87">
        <f>SUM(Q7:Q10,Q12:Q13,Q15:Q15)</f>
        <v>3549429611.7683907</v>
      </c>
      <c r="R17" s="87">
        <f>SUM(R7:R10,R12:R13,R15:R15)</f>
        <v>3637370639.9651599</v>
      </c>
      <c r="S17" s="87">
        <f>SUM(O17:R17)</f>
        <v>13784026013.526831</v>
      </c>
      <c r="T17" s="87">
        <f>SUM(T7:T10,T12:T13,T15:T15)</f>
        <v>3534239280.0806837</v>
      </c>
      <c r="U17" s="87">
        <f>SUM(U7:U10,U12:U13,U15:U15)</f>
        <v>3446952798.8456416</v>
      </c>
      <c r="V17" s="87">
        <f>SUM(V7:V10,V12:V13,V15:V15)</f>
        <v>3711467059.8619108</v>
      </c>
      <c r="W17" s="87">
        <f>SUM(W7:W10,W12:W13,W15:W15)</f>
        <v>3930081936.7043772</v>
      </c>
      <c r="X17" s="87">
        <f>SUM(T17:W17)</f>
        <v>14622741075.492611</v>
      </c>
      <c r="Y17" s="87">
        <f>SUM(Y7:Y10,Y12:Y13,Y15:Y15)</f>
        <v>3803090800.271174</v>
      </c>
      <c r="Z17" s="87">
        <f>SUM(Z7:Z10,Z12:Z13,Z15:Z15)</f>
        <v>3696916682.9980083</v>
      </c>
      <c r="AA17" s="87">
        <f>SUM(AA7:AA10,AA12:AA13,AA15:AA15)</f>
        <v>3889283092.6846867</v>
      </c>
      <c r="AB17" s="87">
        <f>SUM(AB7:AB10,AB12:AB13,AB15:AB15)</f>
        <v>4259820852.6985707</v>
      </c>
      <c r="AC17" s="87">
        <f>SUM(Y17:AB17)</f>
        <v>15649111428.652439</v>
      </c>
    </row>
    <row r="18" spans="1:29" ht="6.45" customHeight="1"/>
    <row r="19" spans="1:29">
      <c r="A19" s="102" t="s">
        <v>367</v>
      </c>
      <c r="B19" s="47" t="s">
        <v>97</v>
      </c>
      <c r="I19" s="72"/>
    </row>
    <row r="20" spans="1:29" s="47" customFormat="1">
      <c r="B20" s="47" t="s">
        <v>370</v>
      </c>
    </row>
    <row r="21" spans="1:29">
      <c r="A21" s="102"/>
      <c r="B21" s="103" t="str">
        <f>Sugar!B78</f>
        <v>Raw material (sugarcane)</v>
      </c>
      <c r="C21" s="49"/>
      <c r="D21" s="49"/>
      <c r="E21" s="49">
        <f>Sugar!E78</f>
        <v>0</v>
      </c>
      <c r="F21" s="49">
        <f>Sugar!F78</f>
        <v>0</v>
      </c>
      <c r="G21" s="49">
        <f>Sugar!G78</f>
        <v>831599999.99999988</v>
      </c>
      <c r="H21" s="49">
        <f>Sugar!H78</f>
        <v>1201200000</v>
      </c>
      <c r="I21" s="49">
        <f t="shared" ref="I21:I26" si="2">SUM(E21:H21)</f>
        <v>2032800000</v>
      </c>
      <c r="J21" s="49">
        <f>Sugar!J78</f>
        <v>0</v>
      </c>
      <c r="K21" s="49">
        <f>Sugar!K78</f>
        <v>0</v>
      </c>
      <c r="L21" s="49">
        <f>Sugar!L78</f>
        <v>2178000000</v>
      </c>
      <c r="M21" s="49">
        <f>Sugar!M78</f>
        <v>0</v>
      </c>
      <c r="N21" s="49">
        <f t="shared" ref="N21:N26" si="3">SUM(J21:M21)</f>
        <v>2178000000</v>
      </c>
      <c r="O21" s="49">
        <f>Sugar!O78</f>
        <v>0</v>
      </c>
      <c r="P21" s="49">
        <f>Sugar!P78</f>
        <v>0</v>
      </c>
      <c r="Q21" s="49">
        <f>Sugar!Q78</f>
        <v>2534400000</v>
      </c>
      <c r="R21" s="49">
        <f>Sugar!R78</f>
        <v>0</v>
      </c>
      <c r="S21" s="49">
        <f t="shared" ref="S21:S26" si="4">SUM(O21:R21)</f>
        <v>2534400000</v>
      </c>
      <c r="T21" s="49">
        <f>Sugar!T78</f>
        <v>0</v>
      </c>
      <c r="U21" s="49">
        <f>Sugar!U78</f>
        <v>0</v>
      </c>
      <c r="V21" s="49">
        <f>Sugar!V78</f>
        <v>2985840000</v>
      </c>
      <c r="W21" s="49">
        <f>Sugar!W78</f>
        <v>0</v>
      </c>
      <c r="X21" s="49">
        <f t="shared" ref="X21:X26" si="5">SUM(T21:W21)</f>
        <v>2985840000</v>
      </c>
      <c r="Y21" s="49">
        <f>Sugar!Y78</f>
        <v>0</v>
      </c>
      <c r="Z21" s="49">
        <f>Sugar!Z78</f>
        <v>0</v>
      </c>
      <c r="AA21" s="49">
        <f>Sugar!AA78</f>
        <v>3511200000</v>
      </c>
      <c r="AB21" s="49">
        <f>Sugar!AB78</f>
        <v>0</v>
      </c>
      <c r="AC21" s="49">
        <f t="shared" ref="AC21:AC26" si="6">SUM(Y21:AB21)</f>
        <v>3511200000</v>
      </c>
    </row>
    <row r="22" spans="1:29">
      <c r="B22" s="103" t="str">
        <f>Sugar!B79</f>
        <v>Labour Cost</v>
      </c>
      <c r="C22" s="49"/>
      <c r="D22" s="49"/>
      <c r="E22" s="49">
        <f>Sugar!E79</f>
        <v>0</v>
      </c>
      <c r="F22" s="49">
        <f>Sugar!F79</f>
        <v>0</v>
      </c>
      <c r="G22" s="49">
        <f>Sugar!G79</f>
        <v>5039999.9999999991</v>
      </c>
      <c r="H22" s="49">
        <f>Sugar!H79</f>
        <v>6160000</v>
      </c>
      <c r="I22" s="49">
        <f>SUM(E22:H22)</f>
        <v>11200000</v>
      </c>
      <c r="J22" s="49">
        <f>Sugar!J79</f>
        <v>0</v>
      </c>
      <c r="K22" s="49">
        <f>Sugar!K79</f>
        <v>0</v>
      </c>
      <c r="L22" s="49">
        <f>Sugar!L79</f>
        <v>5400000</v>
      </c>
      <c r="M22" s="49">
        <f>Sugar!M79</f>
        <v>7800000</v>
      </c>
      <c r="N22" s="49">
        <f t="shared" si="3"/>
        <v>13200000</v>
      </c>
      <c r="O22" s="49">
        <f>Sugar!O79</f>
        <v>0</v>
      </c>
      <c r="P22" s="49">
        <f>Sugar!P79</f>
        <v>0</v>
      </c>
      <c r="Q22" s="49">
        <f>Sugar!Q79</f>
        <v>6400000</v>
      </c>
      <c r="R22" s="49">
        <f>Sugar!R79</f>
        <v>8960000</v>
      </c>
      <c r="S22" s="49">
        <f t="shared" si="4"/>
        <v>15360000</v>
      </c>
      <c r="T22" s="49">
        <f>Sugar!T79</f>
        <v>0</v>
      </c>
      <c r="U22" s="49">
        <f>Sugar!U79</f>
        <v>0</v>
      </c>
      <c r="V22" s="49">
        <f>Sugar!V79</f>
        <v>6960000</v>
      </c>
      <c r="W22" s="49">
        <f>Sugar!W79</f>
        <v>11136000</v>
      </c>
      <c r="X22" s="49">
        <f t="shared" si="5"/>
        <v>18096000</v>
      </c>
      <c r="Y22" s="49">
        <f>Sugar!Y79</f>
        <v>0</v>
      </c>
      <c r="Z22" s="49">
        <f>Sugar!Z79</f>
        <v>0</v>
      </c>
      <c r="AA22" s="49">
        <f>Sugar!AA79</f>
        <v>7600000</v>
      </c>
      <c r="AB22" s="49">
        <f>Sugar!AB79</f>
        <v>13680000</v>
      </c>
      <c r="AC22" s="49">
        <f t="shared" si="6"/>
        <v>21280000</v>
      </c>
    </row>
    <row r="23" spans="1:29">
      <c r="B23" s="103" t="str">
        <f>Sugar!B80</f>
        <v>Power Cost</v>
      </c>
      <c r="C23" s="49"/>
      <c r="D23" s="49"/>
      <c r="E23" s="49">
        <f>Sugar!E80</f>
        <v>0</v>
      </c>
      <c r="F23" s="49">
        <f>Sugar!F80</f>
        <v>0</v>
      </c>
      <c r="G23" s="49">
        <f>Sugar!G80</f>
        <v>-51480000</v>
      </c>
      <c r="H23" s="49">
        <f>Sugar!H80</f>
        <v>-62920000</v>
      </c>
      <c r="I23" s="49">
        <f t="shared" si="2"/>
        <v>-114400000</v>
      </c>
      <c r="J23" s="49">
        <f>Sugar!J80</f>
        <v>0</v>
      </c>
      <c r="K23" s="49">
        <f>Sugar!K80</f>
        <v>0</v>
      </c>
      <c r="L23" s="49">
        <f>Sugar!L80</f>
        <v>-51480000</v>
      </c>
      <c r="M23" s="49">
        <f>Sugar!M80</f>
        <v>-74360000</v>
      </c>
      <c r="N23" s="49">
        <f t="shared" si="3"/>
        <v>-125840000</v>
      </c>
      <c r="O23" s="49">
        <f>Sugar!O80</f>
        <v>0</v>
      </c>
      <c r="P23" s="49">
        <f>Sugar!P80</f>
        <v>0</v>
      </c>
      <c r="Q23" s="49">
        <f>Sugar!Q80</f>
        <v>-57200000</v>
      </c>
      <c r="R23" s="49">
        <f>Sugar!R80</f>
        <v>-80080000</v>
      </c>
      <c r="S23" s="49">
        <f t="shared" si="4"/>
        <v>-137280000</v>
      </c>
      <c r="T23" s="49">
        <f>Sugar!T80</f>
        <v>0</v>
      </c>
      <c r="U23" s="49">
        <f>Sugar!U80</f>
        <v>0</v>
      </c>
      <c r="V23" s="49">
        <f>Sugar!V80</f>
        <v>-57200000</v>
      </c>
      <c r="W23" s="49">
        <f>Sugar!W80</f>
        <v>-91520000</v>
      </c>
      <c r="X23" s="49">
        <f t="shared" si="5"/>
        <v>-148720000</v>
      </c>
      <c r="Y23" s="49">
        <f>Sugar!Y80</f>
        <v>0</v>
      </c>
      <c r="Z23" s="49">
        <f>Sugar!Z80</f>
        <v>0</v>
      </c>
      <c r="AA23" s="49">
        <f>Sugar!AA80</f>
        <v>-57200000</v>
      </c>
      <c r="AB23" s="49">
        <f>Sugar!AB80</f>
        <v>-102960000</v>
      </c>
      <c r="AC23" s="49">
        <f t="shared" si="6"/>
        <v>-160160000</v>
      </c>
    </row>
    <row r="24" spans="1:29">
      <c r="B24" s="103" t="str">
        <f>Sugar!B81</f>
        <v>Salary for dedicated Staff</v>
      </c>
      <c r="C24" s="49"/>
      <c r="D24" s="49"/>
      <c r="E24" s="49">
        <f>Sugar!E81</f>
        <v>4439070</v>
      </c>
      <c r="F24" s="49">
        <f>Sugar!F81</f>
        <v>4550046.75</v>
      </c>
      <c r="G24" s="49">
        <f>Sugar!G81</f>
        <v>4663797.9187499993</v>
      </c>
      <c r="H24" s="49">
        <f>Sugar!H81</f>
        <v>4780392.8667187486</v>
      </c>
      <c r="I24" s="49">
        <f t="shared" si="2"/>
        <v>18433307.53546875</v>
      </c>
      <c r="J24" s="49">
        <f>Sugar!J81</f>
        <v>4899902.6883867169</v>
      </c>
      <c r="K24" s="49">
        <f>Sugar!K81</f>
        <v>5022400.2555963844</v>
      </c>
      <c r="L24" s="49">
        <f>Sugar!L81</f>
        <v>5147960.2619862938</v>
      </c>
      <c r="M24" s="49">
        <f>Sugar!M81</f>
        <v>5276659.2685359502</v>
      </c>
      <c r="N24" s="49">
        <f t="shared" si="3"/>
        <v>20346922.474505343</v>
      </c>
      <c r="O24" s="49">
        <f>Sugar!O81</f>
        <v>5408575.7502493486</v>
      </c>
      <c r="P24" s="49">
        <f>Sugar!P81</f>
        <v>5543790.1440055817</v>
      </c>
      <c r="Q24" s="49">
        <f>Sugar!Q81</f>
        <v>5682384.8976057209</v>
      </c>
      <c r="R24" s="49">
        <f>Sugar!R81</f>
        <v>5824444.5200458635</v>
      </c>
      <c r="S24" s="49">
        <f t="shared" si="4"/>
        <v>22459195.311906517</v>
      </c>
      <c r="T24" s="49">
        <f>Sugar!T81</f>
        <v>5970055.6330470098</v>
      </c>
      <c r="U24" s="49">
        <f>Sugar!U81</f>
        <v>6119307.0238731848</v>
      </c>
      <c r="V24" s="49">
        <f>Sugar!V81</f>
        <v>6272289.6994700134</v>
      </c>
      <c r="W24" s="49">
        <f>Sugar!W81</f>
        <v>6429096.9419567632</v>
      </c>
      <c r="X24" s="49">
        <f t="shared" si="5"/>
        <v>24790749.29834697</v>
      </c>
      <c r="Y24" s="49">
        <f>Sugar!Y81</f>
        <v>6589824.3655056814</v>
      </c>
      <c r="Z24" s="49">
        <f>Sugar!Z81</f>
        <v>6754569.9746433226</v>
      </c>
      <c r="AA24" s="49">
        <f>Sugar!AA81</f>
        <v>6923434.2240094049</v>
      </c>
      <c r="AB24" s="49">
        <f>Sugar!AB81</f>
        <v>7096520.079609639</v>
      </c>
      <c r="AC24" s="49">
        <f t="shared" si="6"/>
        <v>27364348.64376805</v>
      </c>
    </row>
    <row r="25" spans="1:29">
      <c r="B25" s="103" t="s">
        <v>381</v>
      </c>
      <c r="C25" s="49"/>
      <c r="D25" s="49"/>
      <c r="E25" s="49">
        <f>-(BS!E142-BS!D142+BS!E143-BS!D143+BS!E144-BS!D144+BS!E145-BS!D145+BS!E152-BS!D152)</f>
        <v>594449609.7428571</v>
      </c>
      <c r="F25" s="49">
        <f>-(BS!F142-BS!E142+BS!F143-BS!E143+BS!F144-BS!E144+BS!F145-BS!E145+BS!F152-BS!E152)</f>
        <v>781625000</v>
      </c>
      <c r="G25" s="49">
        <f>-(BS!G142-BS!F142+BS!G143-BS!F143+BS!G144-BS!F144+BS!G145-BS!F145+BS!G152-BS!F152)</f>
        <v>-271216499.5376519</v>
      </c>
      <c r="H25" s="49">
        <f>-(BS!H142-BS!G142+BS!H143-BS!G143+BS!H144-BS!G144+BS!H145-BS!G145+BS!H152-BS!G152)</f>
        <v>-661785141.02966428</v>
      </c>
      <c r="I25" s="49">
        <f>SUM(E25:H25)</f>
        <v>443072969.17554069</v>
      </c>
      <c r="J25" s="49">
        <f>-(BS!I142-BS!H142+BS!I143-BS!H143+BS!I144-BS!H144+BS!I145-BS!H145+BS!I152-BS!H152)</f>
        <v>581179391.71222949</v>
      </c>
      <c r="K25" s="49">
        <f>-(BS!J142-BS!I142+BS!J143-BS!I143+BS!J144-BS!I144+BS!J145-BS!I145+BS!J152-BS!I152)</f>
        <v>523061452.54100657</v>
      </c>
      <c r="L25" s="49">
        <f>-(BS!K142-BS!J142+BS!K143-BS!J143+BS!K144-BS!J144+BS!K145-BS!J145+BS!K152-BS!J152)</f>
        <v>-1679622582.7877836</v>
      </c>
      <c r="M25" s="49">
        <f>-(BS!L142-BS!K142+BS!L143-BS!K143+BS!L144-BS!K144+BS!L145-BS!K145+BS!L152-BS!K152)</f>
        <v>625069192.17089212</v>
      </c>
      <c r="N25" s="49">
        <f t="shared" si="3"/>
        <v>49687453.636344552</v>
      </c>
      <c r="O25" s="49">
        <f>-(BS!M142-BS!L142+BS!M143-BS!L143+BS!M144-BS!L144+BS!M145-BS!L145+BS!M152-BS!L152)</f>
        <v>556335664.89405715</v>
      </c>
      <c r="P25" s="49">
        <f>-(BS!N142-BS!M142+BS!N143-BS!M143+BS!N144-BS!M144+BS!N145-BS!M145+BS!N152-BS!M152)</f>
        <v>500702098.40465146</v>
      </c>
      <c r="Q25" s="49">
        <f>-(BS!O142-BS!N142+BS!O143-BS!N143+BS!O144-BS!N144+BS!O145-BS!N145+BS!O152-BS!N152)</f>
        <v>-1951816473.2057099</v>
      </c>
      <c r="R25" s="49">
        <f>-(BS!P142-BS!O142+BS!P143-BS!O143+BS!P144-BS!O144+BS!P145-BS!O145+BS!P152-BS!O152)</f>
        <v>717214465.41960824</v>
      </c>
      <c r="S25" s="49">
        <f t="shared" si="4"/>
        <v>-177564244.48739302</v>
      </c>
      <c r="T25" s="49">
        <f>-(BS!Q142-BS!P142+BS!Q143-BS!P143+BS!Q144-BS!P144+BS!Q145-BS!P145+BS!Q152-BS!P152)</f>
        <v>645117787.13775373</v>
      </c>
      <c r="U25" s="49">
        <f>-(BS!R142-BS!Q142+BS!R143-BS!Q143+BS!R144-BS!Q144+BS!R145-BS!Q145+BS!R152-BS!Q152)</f>
        <v>580606008.42397833</v>
      </c>
      <c r="V25" s="49">
        <f>-(BS!S142-BS!R142+BS!S143-BS!R143+BS!S144-BS!R144+BS!S145-BS!R145+BS!S152-BS!R152)</f>
        <v>-2372922543.7784886</v>
      </c>
      <c r="W25" s="49">
        <f>-(BS!T142-BS!S142+BS!T143-BS!S143+BS!T144-BS!S144+BS!T145-BS!S145+BS!T152-BS!S152)</f>
        <v>865670183.38181877</v>
      </c>
      <c r="X25" s="49">
        <f t="shared" si="5"/>
        <v>-281528564.83493781</v>
      </c>
      <c r="Y25" s="49">
        <f>-(BS!U142-BS!T142+BS!U143-BS!T143+BS!U144-BS!T144+BS!U145-BS!T145+BS!U152-BS!T152)</f>
        <v>785882069.55522251</v>
      </c>
      <c r="Z25" s="49">
        <f>-(BS!V142-BS!U142+BS!V143-BS!U143+BS!V144-BS!U144+BS!V145-BS!U145+BS!V152-BS!U152)</f>
        <v>707293862.59970033</v>
      </c>
      <c r="AA25" s="49">
        <f>-(BS!W142-BS!V142+BS!W143-BS!V143+BS!W144-BS!V144+BS!W145-BS!V145+BS!W152-BS!V152)</f>
        <v>-2856366330.3696065</v>
      </c>
      <c r="AB25" s="49">
        <f>-(BS!X142-BS!W142+BS!X143-BS!W143+BS!X144-BS!W144+BS!X145-BS!W145+BS!X152-BS!W152)</f>
        <v>1054845838.9719787</v>
      </c>
      <c r="AC25" s="49">
        <f t="shared" si="6"/>
        <v>-308344559.24270487</v>
      </c>
    </row>
    <row r="26" spans="1:29">
      <c r="B26" s="103" t="str">
        <f>Sugar!B82</f>
        <v>Other Cost</v>
      </c>
      <c r="C26" s="49"/>
      <c r="D26" s="49"/>
      <c r="E26" s="49">
        <f>Sugar!E82</f>
        <v>0</v>
      </c>
      <c r="F26" s="49">
        <f>Sugar!F82</f>
        <v>0</v>
      </c>
      <c r="G26" s="49">
        <f>Sugar!G82</f>
        <v>8819999.9999999981</v>
      </c>
      <c r="H26" s="49">
        <f>Sugar!H82</f>
        <v>10780000</v>
      </c>
      <c r="I26" s="49">
        <f t="shared" si="2"/>
        <v>19600000</v>
      </c>
      <c r="J26" s="49">
        <f>Sugar!J82</f>
        <v>0</v>
      </c>
      <c r="K26" s="49">
        <f>Sugar!K82</f>
        <v>0</v>
      </c>
      <c r="L26" s="49">
        <f>Sugar!L82</f>
        <v>9450000</v>
      </c>
      <c r="M26" s="49">
        <f>Sugar!M82</f>
        <v>13650000</v>
      </c>
      <c r="N26" s="49">
        <f t="shared" si="3"/>
        <v>23100000</v>
      </c>
      <c r="O26" s="49">
        <f>Sugar!O82</f>
        <v>0</v>
      </c>
      <c r="P26" s="49">
        <f>Sugar!P82</f>
        <v>0</v>
      </c>
      <c r="Q26" s="49">
        <f>Sugar!Q82</f>
        <v>11200000</v>
      </c>
      <c r="R26" s="49">
        <f>Sugar!R82</f>
        <v>15680000</v>
      </c>
      <c r="S26" s="49">
        <f t="shared" si="4"/>
        <v>26880000</v>
      </c>
      <c r="T26" s="49">
        <f>Sugar!T82</f>
        <v>0</v>
      </c>
      <c r="U26" s="49">
        <f>Sugar!U82</f>
        <v>0</v>
      </c>
      <c r="V26" s="49">
        <f>Sugar!V82</f>
        <v>12180000</v>
      </c>
      <c r="W26" s="49">
        <f>Sugar!W82</f>
        <v>19488000</v>
      </c>
      <c r="X26" s="49">
        <f t="shared" si="5"/>
        <v>31668000</v>
      </c>
      <c r="Y26" s="49">
        <f>Sugar!Y82</f>
        <v>0</v>
      </c>
      <c r="Z26" s="49">
        <f>Sugar!Z82</f>
        <v>0</v>
      </c>
      <c r="AA26" s="49">
        <f>Sugar!AA82</f>
        <v>13300000</v>
      </c>
      <c r="AB26" s="49">
        <f>Sugar!AB82</f>
        <v>23940000</v>
      </c>
      <c r="AC26" s="49">
        <f t="shared" si="6"/>
        <v>37240000</v>
      </c>
    </row>
    <row r="27" spans="1:29" s="47" customFormat="1">
      <c r="B27" s="154" t="s">
        <v>504</v>
      </c>
      <c r="C27" s="48"/>
      <c r="D27" s="48"/>
      <c r="E27" s="48">
        <f t="shared" ref="E27:AB27" si="7">SUM(E21:E26)</f>
        <v>598888679.7428571</v>
      </c>
      <c r="F27" s="48">
        <f t="shared" si="7"/>
        <v>786175046.75</v>
      </c>
      <c r="G27" s="48">
        <f t="shared" si="7"/>
        <v>527427298.38109803</v>
      </c>
      <c r="H27" s="48">
        <f t="shared" si="7"/>
        <v>498215251.83705449</v>
      </c>
      <c r="I27" s="48">
        <f t="shared" si="7"/>
        <v>2410706276.7110095</v>
      </c>
      <c r="J27" s="48">
        <f t="shared" si="7"/>
        <v>586079294.40061617</v>
      </c>
      <c r="K27" s="48">
        <f t="shared" si="7"/>
        <v>528083852.79660296</v>
      </c>
      <c r="L27" s="48">
        <f t="shared" si="7"/>
        <v>466895377.47420263</v>
      </c>
      <c r="M27" s="48">
        <f t="shared" si="7"/>
        <v>577435851.43942809</v>
      </c>
      <c r="N27" s="48">
        <f t="shared" si="7"/>
        <v>2158494376.1108499</v>
      </c>
      <c r="O27" s="48">
        <f t="shared" si="7"/>
        <v>561744240.64430654</v>
      </c>
      <c r="P27" s="48">
        <f t="shared" si="7"/>
        <v>506245888.54865706</v>
      </c>
      <c r="Q27" s="48">
        <f t="shared" si="7"/>
        <v>548665911.69189596</v>
      </c>
      <c r="R27" s="48">
        <f t="shared" si="7"/>
        <v>667598909.93965411</v>
      </c>
      <c r="S27" s="48">
        <f t="shared" si="7"/>
        <v>2284254950.8245134</v>
      </c>
      <c r="T27" s="48">
        <f t="shared" si="7"/>
        <v>651087842.77080071</v>
      </c>
      <c r="U27" s="48">
        <f t="shared" si="7"/>
        <v>586725315.44785154</v>
      </c>
      <c r="V27" s="48">
        <f t="shared" si="7"/>
        <v>581129745.92098141</v>
      </c>
      <c r="W27" s="48">
        <f t="shared" si="7"/>
        <v>811203280.32377553</v>
      </c>
      <c r="X27" s="48">
        <f t="shared" si="7"/>
        <v>2630146184.4634094</v>
      </c>
      <c r="Y27" s="48">
        <f t="shared" si="7"/>
        <v>792471893.92072821</v>
      </c>
      <c r="Z27" s="48">
        <f t="shared" si="7"/>
        <v>714048432.57434368</v>
      </c>
      <c r="AA27" s="48">
        <f t="shared" si="7"/>
        <v>625457103.85440302</v>
      </c>
      <c r="AB27" s="48">
        <f t="shared" si="7"/>
        <v>996602359.0515883</v>
      </c>
      <c r="AC27" s="48">
        <f>SUM(AC21:AC26)</f>
        <v>3128579789.401063</v>
      </c>
    </row>
    <row r="28" spans="1:29" s="47" customFormat="1">
      <c r="A28" s="47" t="s">
        <v>367</v>
      </c>
      <c r="B28" s="63" t="s">
        <v>371</v>
      </c>
      <c r="D28" s="9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</row>
    <row r="29" spans="1:29">
      <c r="A29" s="102"/>
      <c r="B29" s="104" t="str">
        <f>Ethanol!B47</f>
        <v>Cost of Corn Purchase</v>
      </c>
      <c r="C29" s="49"/>
      <c r="D29" s="49"/>
      <c r="E29" s="49">
        <f>Ethanol!E47</f>
        <v>0</v>
      </c>
      <c r="F29" s="49">
        <f>Ethanol!F47</f>
        <v>0</v>
      </c>
      <c r="G29" s="49">
        <f>Ethanol!G47</f>
        <v>1919204542.9014359</v>
      </c>
      <c r="H29" s="49">
        <f>Ethanol!H47</f>
        <v>1873509196.6418779</v>
      </c>
      <c r="I29" s="49">
        <f t="shared" ref="I29:I38" si="8">SUM(E29:H29)</f>
        <v>3792713739.543314</v>
      </c>
      <c r="J29" s="49">
        <f>Ethanol!J47</f>
        <v>1873509196.6418779</v>
      </c>
      <c r="K29" s="49">
        <f>Ethanol!K47</f>
        <v>1873509196.6418779</v>
      </c>
      <c r="L29" s="49">
        <f>Ethanol!L47</f>
        <v>7141345945.0148659</v>
      </c>
      <c r="M29" s="49">
        <f>Ethanol!M47</f>
        <v>0</v>
      </c>
      <c r="N29" s="49">
        <f t="shared" ref="N29:N40" si="9">SUM(J29:M29)</f>
        <v>10888364338.298622</v>
      </c>
      <c r="O29" s="49">
        <f>Ethanol!O47</f>
        <v>0</v>
      </c>
      <c r="P29" s="49">
        <f>Ethanol!P47</f>
        <v>0</v>
      </c>
      <c r="Q29" s="49">
        <f>Ethanol!Q47</f>
        <v>7336999258.5769176</v>
      </c>
      <c r="R29" s="49">
        <f>Ethanol!R47</f>
        <v>0</v>
      </c>
      <c r="S29" s="49">
        <f t="shared" ref="S29:S40" si="10">SUM(O29:R29)</f>
        <v>7336999258.5769176</v>
      </c>
      <c r="T29" s="49">
        <f>Ethanol!T47</f>
        <v>0</v>
      </c>
      <c r="U29" s="49">
        <f>Ethanol!U47</f>
        <v>0</v>
      </c>
      <c r="V29" s="49">
        <f>Ethanol!V47</f>
        <v>7532652572.1389675</v>
      </c>
      <c r="W29" s="49">
        <f>Ethanol!W47</f>
        <v>0</v>
      </c>
      <c r="X29" s="49">
        <f t="shared" ref="X29:X40" si="11">SUM(T29:W29)</f>
        <v>7532652572.1389675</v>
      </c>
      <c r="Y29" s="49">
        <f>Ethanol!Y47</f>
        <v>0</v>
      </c>
      <c r="Z29" s="49">
        <f>Ethanol!Z47</f>
        <v>0</v>
      </c>
      <c r="AA29" s="49">
        <f>Ethanol!AA47</f>
        <v>7728305885.7010193</v>
      </c>
      <c r="AB29" s="49">
        <f>Ethanol!AB47</f>
        <v>0</v>
      </c>
      <c r="AC29" s="49">
        <f t="shared" ref="AC29:AC40" si="12">SUM(Y29:AB29)</f>
        <v>7728305885.7010193</v>
      </c>
    </row>
    <row r="30" spans="1:29">
      <c r="B30" s="104" t="str">
        <f>Ethanol!B48</f>
        <v>Labour Cost</v>
      </c>
      <c r="C30" s="49"/>
      <c r="D30" s="49"/>
      <c r="E30" s="49">
        <f>Ethanol!E48</f>
        <v>0</v>
      </c>
      <c r="F30" s="49">
        <f>Ethanol!F48</f>
        <v>0</v>
      </c>
      <c r="G30" s="49">
        <f>Ethanol!G48</f>
        <v>4569534.6259557996</v>
      </c>
      <c r="H30" s="49">
        <f>Ethanol!H48</f>
        <v>4569534.6259557996</v>
      </c>
      <c r="I30" s="49">
        <f t="shared" si="8"/>
        <v>9139069.2519115992</v>
      </c>
      <c r="J30" s="49">
        <f>Ethanol!J48</f>
        <v>4569534.6259557996</v>
      </c>
      <c r="K30" s="49">
        <f>Ethanol!K48</f>
        <v>4569534.6259557996</v>
      </c>
      <c r="L30" s="49">
        <f>Ethanol!L48</f>
        <v>4698253.9111939911</v>
      </c>
      <c r="M30" s="49">
        <f>Ethanol!M48</f>
        <v>4698253.9111939911</v>
      </c>
      <c r="N30" s="49">
        <f t="shared" si="9"/>
        <v>18535577.074299581</v>
      </c>
      <c r="O30" s="49">
        <f>Ethanol!O48</f>
        <v>4698253.9111939911</v>
      </c>
      <c r="P30" s="49">
        <f>Ethanol!P48</f>
        <v>4698253.9111939911</v>
      </c>
      <c r="Q30" s="49">
        <f>Ethanol!Q48</f>
        <v>4826973.1964321826</v>
      </c>
      <c r="R30" s="49">
        <f>Ethanol!R48</f>
        <v>4826973.1964321826</v>
      </c>
      <c r="S30" s="49">
        <f t="shared" si="10"/>
        <v>19050454.215252347</v>
      </c>
      <c r="T30" s="49">
        <f>Ethanol!T48</f>
        <v>4826973.1964321826</v>
      </c>
      <c r="U30" s="49">
        <f>Ethanol!U48</f>
        <v>4826973.1964321826</v>
      </c>
      <c r="V30" s="49">
        <f>Ethanol!V48</f>
        <v>4955692.4816703741</v>
      </c>
      <c r="W30" s="49">
        <f>Ethanol!W48</f>
        <v>4955692.4816703741</v>
      </c>
      <c r="X30" s="49">
        <f t="shared" si="11"/>
        <v>19565331.356205113</v>
      </c>
      <c r="Y30" s="49">
        <f>Ethanol!Y48</f>
        <v>4955692.4816703741</v>
      </c>
      <c r="Z30" s="49">
        <f>Ethanol!Z48</f>
        <v>4955692.4816703741</v>
      </c>
      <c r="AA30" s="49">
        <f>Ethanol!AA48</f>
        <v>5084411.7669085655</v>
      </c>
      <c r="AB30" s="49">
        <f>Ethanol!AB48</f>
        <v>5084411.7669085655</v>
      </c>
      <c r="AC30" s="49">
        <f t="shared" si="12"/>
        <v>20080208.497157879</v>
      </c>
    </row>
    <row r="31" spans="1:29">
      <c r="B31" s="104" t="str">
        <f>Ethanol!B49</f>
        <v>Power Cost</v>
      </c>
      <c r="C31" s="49"/>
      <c r="D31" s="49"/>
      <c r="E31" s="49">
        <f>Ethanol!E49</f>
        <v>0</v>
      </c>
      <c r="F31" s="49">
        <f>Ethanol!F49</f>
        <v>0</v>
      </c>
      <c r="G31" s="49">
        <f>Ethanol!G49</f>
        <v>-28737500</v>
      </c>
      <c r="H31" s="49">
        <f>Ethanol!H49</f>
        <v>-28737500</v>
      </c>
      <c r="I31" s="49">
        <f>SUM(E31:H31)</f>
        <v>-57475000</v>
      </c>
      <c r="J31" s="49">
        <f>Ethanol!J49</f>
        <v>-28737500</v>
      </c>
      <c r="K31" s="49">
        <f>Ethanol!K49</f>
        <v>-28737500</v>
      </c>
      <c r="L31" s="49">
        <f>Ethanol!L49</f>
        <v>-28737500</v>
      </c>
      <c r="M31" s="49">
        <f>Ethanol!M49</f>
        <v>-28737500</v>
      </c>
      <c r="N31" s="49">
        <f t="shared" si="9"/>
        <v>-114950000</v>
      </c>
      <c r="O31" s="49">
        <f>Ethanol!O49</f>
        <v>-28737500</v>
      </c>
      <c r="P31" s="49">
        <f>Ethanol!P49</f>
        <v>731600.71428566054</v>
      </c>
      <c r="Q31" s="49">
        <f>Ethanol!Q49</f>
        <v>-28737500</v>
      </c>
      <c r="R31" s="49">
        <f>Ethanol!R49</f>
        <v>-28737500</v>
      </c>
      <c r="S31" s="49">
        <f t="shared" si="10"/>
        <v>-85480899.285714343</v>
      </c>
      <c r="T31" s="49">
        <f>Ethanol!T49</f>
        <v>-28737500</v>
      </c>
      <c r="U31" s="49">
        <f>Ethanol!U49</f>
        <v>22382499.999999978</v>
      </c>
      <c r="V31" s="49">
        <f>Ethanol!V49</f>
        <v>-28737500</v>
      </c>
      <c r="W31" s="49">
        <f>Ethanol!W49</f>
        <v>-28737500</v>
      </c>
      <c r="X31" s="49">
        <f t="shared" si="11"/>
        <v>-63830000.000000022</v>
      </c>
      <c r="Y31" s="49">
        <f>Ethanol!Y49</f>
        <v>-28737500</v>
      </c>
      <c r="Z31" s="49">
        <f>Ethanol!Z49</f>
        <v>-28737500</v>
      </c>
      <c r="AA31" s="49">
        <f>Ethanol!AA49</f>
        <v>-28737500</v>
      </c>
      <c r="AB31" s="49">
        <f>Ethanol!AB49</f>
        <v>-28737500</v>
      </c>
      <c r="AC31" s="49">
        <f t="shared" si="12"/>
        <v>-114950000</v>
      </c>
    </row>
    <row r="32" spans="1:29">
      <c r="B32" s="104" t="str">
        <f>Ethanol!B50</f>
        <v>Salary for dedicated Staff</v>
      </c>
      <c r="C32" s="49"/>
      <c r="D32" s="49"/>
      <c r="E32" s="49">
        <f>Ethanol!E50</f>
        <v>3465524.9999999995</v>
      </c>
      <c r="F32" s="49">
        <f>Ethanol!F50</f>
        <v>3552163.1249999995</v>
      </c>
      <c r="G32" s="49">
        <f>Ethanol!G50</f>
        <v>4610168.7656249991</v>
      </c>
      <c r="H32" s="49">
        <f>Ethanol!H50</f>
        <v>5139352.8187499987</v>
      </c>
      <c r="I32" s="49">
        <f t="shared" si="8"/>
        <v>16767209.709374998</v>
      </c>
      <c r="J32" s="49">
        <f>Ethanol!J50</f>
        <v>5267836.6392187485</v>
      </c>
      <c r="K32" s="49">
        <f>Ethanol!K50</f>
        <v>5399532.5551992171</v>
      </c>
      <c r="L32" s="49">
        <f>Ethanol!L50</f>
        <v>5534520.8690791959</v>
      </c>
      <c r="M32" s="49">
        <f>Ethanol!M50</f>
        <v>5672883.8908061758</v>
      </c>
      <c r="N32" s="49">
        <f t="shared" si="9"/>
        <v>21874773.954303335</v>
      </c>
      <c r="O32" s="49">
        <f>Ethanol!O50</f>
        <v>5814705.9880763292</v>
      </c>
      <c r="P32" s="49">
        <f>Ethanol!P50</f>
        <v>5960073.6377782365</v>
      </c>
      <c r="Q32" s="49">
        <f>Ethanol!Q50</f>
        <v>6109075.4787226925</v>
      </c>
      <c r="R32" s="49">
        <f>Ethanol!R50</f>
        <v>6261802.3656907594</v>
      </c>
      <c r="S32" s="49">
        <f t="shared" si="10"/>
        <v>24145657.470268019</v>
      </c>
      <c r="T32" s="49">
        <f>Ethanol!T50</f>
        <v>6418347.4248330276</v>
      </c>
      <c r="U32" s="49">
        <f>Ethanol!U50</f>
        <v>6578806.1104538534</v>
      </c>
      <c r="V32" s="49">
        <f>Ethanol!V50</f>
        <v>6743276.2632151982</v>
      </c>
      <c r="W32" s="49">
        <f>Ethanol!W50</f>
        <v>6911858.1697955774</v>
      </c>
      <c r="X32" s="49">
        <f t="shared" si="11"/>
        <v>26652287.968297657</v>
      </c>
      <c r="Y32" s="49">
        <f>Ethanol!Y50</f>
        <v>7084654.6240404667</v>
      </c>
      <c r="Z32" s="49">
        <f>Ethanol!Z50</f>
        <v>7261770.9896414774</v>
      </c>
      <c r="AA32" s="49">
        <f>Ethanol!AA50</f>
        <v>7443315.2643825132</v>
      </c>
      <c r="AB32" s="49">
        <f>Ethanol!AB50</f>
        <v>7629398.1459920751</v>
      </c>
      <c r="AC32" s="49">
        <f t="shared" si="12"/>
        <v>29419139.024056531</v>
      </c>
    </row>
    <row r="33" spans="1:29">
      <c r="B33" s="104" t="s">
        <v>381</v>
      </c>
      <c r="C33" s="49"/>
      <c r="D33" s="49"/>
      <c r="E33" s="49">
        <f>-(BS!E140-BS!D140+BS!E141-BS!D141+BS!E153-BS!D153)</f>
        <v>0</v>
      </c>
      <c r="F33" s="49">
        <f>-(BS!F140-BS!E140+BS!F141-BS!E141+BS!F153-BS!E153)</f>
        <v>0</v>
      </c>
      <c r="G33" s="49">
        <f>-(BS!G140-BS!F140+BS!G141-BS!F141+BS!G153-BS!F153)</f>
        <v>-70514454.881901816</v>
      </c>
      <c r="H33" s="49">
        <f>-(BS!H140-BS!G140+BS!H141-BS!G141+BS!H153-BS!G153)</f>
        <v>-2564161.9957054853</v>
      </c>
      <c r="I33" s="49">
        <f>SUM(E33:H33)</f>
        <v>-73078616.877607301</v>
      </c>
      <c r="J33" s="49">
        <f>-(BS!I140-BS!H140+BS!H141-BS!H141+BS!I153-BS!H153)</f>
        <v>5129467.2493865788</v>
      </c>
      <c r="K33" s="49">
        <f>-(BS!J140-BS!I140+BS!J141-BS!I141+BS!J153-BS!I153)</f>
        <v>-3148.6182457953691</v>
      </c>
      <c r="L33" s="49">
        <f>-(BS!K140-BS!J140+BS!K141-BS!J141+BS!K153-BS!J153)</f>
        <v>-5075958885.6291742</v>
      </c>
      <c r="M33" s="49">
        <f>-(BS!L140-BS!K140+BS!L141-BS!K141+BS!L153-BS!K153)</f>
        <v>1691304329.4283938</v>
      </c>
      <c r="N33" s="49">
        <f>SUM(J33:M33)</f>
        <v>-3379528237.5696397</v>
      </c>
      <c r="O33" s="49">
        <f>-(BS!M140-BS!L140+BS!L141-BS!L141+BS!M153-BS!L153)</f>
        <v>1691074810.0926073</v>
      </c>
      <c r="P33" s="49">
        <f>-(BS!N140-BS!M140+BS!N141-BS!M141+BS!N153-BS!M153)</f>
        <v>1691371318.9574108</v>
      </c>
      <c r="Q33" s="49">
        <f>-(BS!O140-BS!N140+BS!O141-BS!N141+BS!O153-BS!N153)</f>
        <v>-5214983368.5235863</v>
      </c>
      <c r="R33" s="49">
        <f>-(BS!P140-BS!O140+BS!P141-BS!O141+BS!P153-BS!O153)</f>
        <v>1737642993.7564282</v>
      </c>
      <c r="S33" s="49">
        <f>SUM(O33:R33)</f>
        <v>-94894245.717139721</v>
      </c>
      <c r="T33" s="49">
        <f>-(BS!Q140-BS!P140+BS!P141-BS!P141+BS!Q153-BS!P153)</f>
        <v>1737492180.9866807</v>
      </c>
      <c r="U33" s="49">
        <f>-(BS!R140-BS!Q140+BS!R141-BS!Q141+BS!R153-BS!Q153)</f>
        <v>1737710261.3819835</v>
      </c>
      <c r="V33" s="49">
        <f>-(BS!S140-BS!R140+BS!S141-BS!R141+BS!S153-BS!R153)</f>
        <v>-5472942359.5177221</v>
      </c>
      <c r="W33" s="49">
        <f>-(BS!T140-BS!S140+BS!T141-BS!S141+BS!T153-BS!S153)</f>
        <v>1823627274.7182021</v>
      </c>
      <c r="X33" s="49">
        <f>SUM(T33:W33)</f>
        <v>-174112642.43085575</v>
      </c>
      <c r="Y33" s="49">
        <f>-(BS!U140-BS!T140+BS!T141-BS!T141+BS!U153-BS!T153)</f>
        <v>1824157553.3561068</v>
      </c>
      <c r="Z33" s="49">
        <f>-(BS!V140-BS!U140+BS!V141-BS!U141+BS!V153-BS!U153)</f>
        <v>1823694744.4809477</v>
      </c>
      <c r="AA33" s="49">
        <f>-(BS!W140-BS!V140+BS!W141-BS!V141+BS!W153-BS!V153)</f>
        <v>-5615036807.23627</v>
      </c>
      <c r="AB33" s="49">
        <f>-(BS!X140-BS!W140+BS!X141-BS!W141+BS!X153-BS!W153)</f>
        <v>1870996395.0743804</v>
      </c>
      <c r="AC33" s="49">
        <f>SUM(Y33:AB33)</f>
        <v>-96188114.3248353</v>
      </c>
    </row>
    <row r="34" spans="1:29">
      <c r="A34" s="102"/>
      <c r="B34" s="104" t="str">
        <f>Ethanol!B51</f>
        <v>Other Cost</v>
      </c>
      <c r="C34" s="49"/>
      <c r="D34" s="49"/>
      <c r="E34" s="49">
        <f>Ethanol!E51</f>
        <v>0</v>
      </c>
      <c r="F34" s="49">
        <f>Ethanol!F51</f>
        <v>0</v>
      </c>
      <c r="G34" s="49">
        <f>Ethanol!G51</f>
        <v>58575000</v>
      </c>
      <c r="H34" s="49">
        <f>Ethanol!H51</f>
        <v>58575000</v>
      </c>
      <c r="I34" s="49">
        <f t="shared" si="8"/>
        <v>117150000</v>
      </c>
      <c r="J34" s="49">
        <f>Ethanol!J51</f>
        <v>58575000</v>
      </c>
      <c r="K34" s="49">
        <f>Ethanol!K51</f>
        <v>58575000</v>
      </c>
      <c r="L34" s="49">
        <f>Ethanol!L51</f>
        <v>60225000</v>
      </c>
      <c r="M34" s="49">
        <f>Ethanol!M51</f>
        <v>60225000</v>
      </c>
      <c r="N34" s="49">
        <f t="shared" si="9"/>
        <v>237600000</v>
      </c>
      <c r="O34" s="49">
        <f>Ethanol!O51</f>
        <v>60225000</v>
      </c>
      <c r="P34" s="49">
        <f>Ethanol!P51</f>
        <v>60225000</v>
      </c>
      <c r="Q34" s="49">
        <f>Ethanol!Q51</f>
        <v>61875000</v>
      </c>
      <c r="R34" s="49">
        <f>Ethanol!R51</f>
        <v>61875000</v>
      </c>
      <c r="S34" s="49">
        <f t="shared" si="10"/>
        <v>244200000</v>
      </c>
      <c r="T34" s="49">
        <f>Ethanol!T51</f>
        <v>61875000</v>
      </c>
      <c r="U34" s="49">
        <f>Ethanol!U51</f>
        <v>61875000</v>
      </c>
      <c r="V34" s="49">
        <f>Ethanol!V51</f>
        <v>63525000</v>
      </c>
      <c r="W34" s="49">
        <f>Ethanol!W51</f>
        <v>63525000</v>
      </c>
      <c r="X34" s="49">
        <f t="shared" si="11"/>
        <v>250800000</v>
      </c>
      <c r="Y34" s="49">
        <f>Ethanol!Y51</f>
        <v>63525000</v>
      </c>
      <c r="Z34" s="49">
        <f>Ethanol!Z51</f>
        <v>63525000</v>
      </c>
      <c r="AA34" s="49">
        <f>Ethanol!AA51</f>
        <v>65175000</v>
      </c>
      <c r="AB34" s="49">
        <f>Ethanol!AB51</f>
        <v>65175000</v>
      </c>
      <c r="AC34" s="49">
        <f t="shared" si="12"/>
        <v>257400000</v>
      </c>
    </row>
    <row r="35" spans="1:29" s="47" customFormat="1">
      <c r="A35" s="102"/>
      <c r="B35" s="155" t="s">
        <v>505</v>
      </c>
      <c r="C35" s="48"/>
      <c r="D35" s="48"/>
      <c r="E35" s="48">
        <f>SUM(E29:E34)</f>
        <v>3465524.9999999995</v>
      </c>
      <c r="F35" s="48">
        <f t="shared" ref="F35:AC35" si="13">SUM(F29:F34)</f>
        <v>3552163.1249999995</v>
      </c>
      <c r="G35" s="48">
        <f t="shared" si="13"/>
        <v>1887707291.4111149</v>
      </c>
      <c r="H35" s="48">
        <f t="shared" si="13"/>
        <v>1910491422.090878</v>
      </c>
      <c r="I35" s="48">
        <f t="shared" si="13"/>
        <v>3805216401.6269932</v>
      </c>
      <c r="J35" s="48">
        <f t="shared" si="13"/>
        <v>1918313535.1564391</v>
      </c>
      <c r="K35" s="48">
        <f t="shared" si="13"/>
        <v>1913312615.204787</v>
      </c>
      <c r="L35" s="48">
        <f t="shared" si="13"/>
        <v>2107107334.1659651</v>
      </c>
      <c r="M35" s="48">
        <f t="shared" si="13"/>
        <v>1733162967.2303939</v>
      </c>
      <c r="N35" s="48">
        <f t="shared" si="13"/>
        <v>7671896451.7575855</v>
      </c>
      <c r="O35" s="48">
        <f t="shared" si="13"/>
        <v>1733075269.9918776</v>
      </c>
      <c r="P35" s="48">
        <f t="shared" si="13"/>
        <v>1762986247.2206688</v>
      </c>
      <c r="Q35" s="48">
        <f t="shared" si="13"/>
        <v>2166089438.7284861</v>
      </c>
      <c r="R35" s="48">
        <f t="shared" si="13"/>
        <v>1781869269.3185511</v>
      </c>
      <c r="S35" s="48">
        <f>SUM(S29:S34)</f>
        <v>7444020225.2595844</v>
      </c>
      <c r="T35" s="48">
        <f t="shared" si="13"/>
        <v>1781875001.6079459</v>
      </c>
      <c r="U35" s="48">
        <f t="shared" si="13"/>
        <v>1833373540.6888695</v>
      </c>
      <c r="V35" s="48">
        <f t="shared" si="13"/>
        <v>2106196681.3661308</v>
      </c>
      <c r="W35" s="48">
        <f t="shared" si="13"/>
        <v>1870282325.369668</v>
      </c>
      <c r="X35" s="48">
        <f t="shared" si="13"/>
        <v>7591727549.0326147</v>
      </c>
      <c r="Y35" s="48">
        <f t="shared" si="13"/>
        <v>1870985400.4618175</v>
      </c>
      <c r="Z35" s="48">
        <f t="shared" si="13"/>
        <v>1870699707.9522595</v>
      </c>
      <c r="AA35" s="48">
        <f t="shared" si="13"/>
        <v>2162234305.4960403</v>
      </c>
      <c r="AB35" s="48">
        <f t="shared" si="13"/>
        <v>1920147704.9872811</v>
      </c>
      <c r="AC35" s="48">
        <f t="shared" si="13"/>
        <v>7824067118.897398</v>
      </c>
    </row>
    <row r="36" spans="1:29">
      <c r="A36" s="102"/>
      <c r="B36" s="104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>
      <c r="B37" s="49" t="s">
        <v>289</v>
      </c>
      <c r="C37" s="105">
        <v>0.03</v>
      </c>
      <c r="D37" s="105"/>
      <c r="E37" s="49">
        <f>Employee!E28</f>
        <v>6748394.9999999991</v>
      </c>
      <c r="F37" s="49">
        <f>Employee!F28</f>
        <v>6917104.8749999991</v>
      </c>
      <c r="G37" s="49">
        <f>Employee!G28</f>
        <v>7090032.4968749993</v>
      </c>
      <c r="H37" s="49">
        <f>Employee!H28</f>
        <v>7267283.3092968734</v>
      </c>
      <c r="I37" s="49">
        <f>SUM(E37:H37)</f>
        <v>28022815.681171868</v>
      </c>
      <c r="J37" s="49">
        <f>Employee!J28</f>
        <v>7448965.3920292947</v>
      </c>
      <c r="K37" s="49">
        <f>Employee!K28</f>
        <v>7635189.5268300259</v>
      </c>
      <c r="L37" s="49">
        <f>Employee!L28</f>
        <v>7826069.2650007764</v>
      </c>
      <c r="M37" s="49">
        <f>Employee!M28</f>
        <v>8021720.996625795</v>
      </c>
      <c r="N37" s="49">
        <f t="shared" si="9"/>
        <v>30931945.180485893</v>
      </c>
      <c r="O37" s="49">
        <f>Employee!O28</f>
        <v>8222264.0215414381</v>
      </c>
      <c r="P37" s="49">
        <f>Employee!P28</f>
        <v>8427820.6220799722</v>
      </c>
      <c r="Q37" s="49">
        <f>Employee!Q28</f>
        <v>8638516.1376319714</v>
      </c>
      <c r="R37" s="49">
        <f>Employee!R28</f>
        <v>8854479.041072771</v>
      </c>
      <c r="S37" s="49">
        <f t="shared" si="10"/>
        <v>34143079.822326154</v>
      </c>
      <c r="T37" s="49">
        <f>Employee!T28</f>
        <v>9075841.0170995891</v>
      </c>
      <c r="U37" s="49">
        <f>Employee!U28</f>
        <v>9302737.0425270777</v>
      </c>
      <c r="V37" s="49">
        <f>Employee!V28</f>
        <v>9535305.468590254</v>
      </c>
      <c r="W37" s="49">
        <f>Employee!W28</f>
        <v>9773688.1053050105</v>
      </c>
      <c r="X37" s="49">
        <f t="shared" si="11"/>
        <v>37687571.633521929</v>
      </c>
      <c r="Y37" s="49">
        <f>Employee!Y28</f>
        <v>10018030.307937633</v>
      </c>
      <c r="Z37" s="49">
        <f>Employee!Z28</f>
        <v>10268481.065636074</v>
      </c>
      <c r="AA37" s="49">
        <f>Employee!AA28</f>
        <v>10525193.092276974</v>
      </c>
      <c r="AB37" s="49">
        <f>Employee!AB28</f>
        <v>10788322.919583898</v>
      </c>
      <c r="AC37" s="49">
        <f t="shared" si="12"/>
        <v>41600027.385434583</v>
      </c>
    </row>
    <row r="38" spans="1:29">
      <c r="B38" s="49" t="s">
        <v>420</v>
      </c>
      <c r="C38" s="105">
        <v>0.1</v>
      </c>
      <c r="D38" s="105" t="s">
        <v>494</v>
      </c>
      <c r="E38" s="49">
        <v>1000000</v>
      </c>
      <c r="F38" s="49">
        <f>E38*(1+$C38/4)</f>
        <v>1024999.9999999999</v>
      </c>
      <c r="G38" s="49">
        <f>F38*(1+$C38/4)</f>
        <v>1050624.9999999998</v>
      </c>
      <c r="H38" s="49">
        <f>G38*(1+$C38/4)</f>
        <v>1076890.6249999998</v>
      </c>
      <c r="I38" s="49">
        <f t="shared" si="8"/>
        <v>4152515.625</v>
      </c>
      <c r="J38" s="49">
        <f>H38*(1+$C38/4)</f>
        <v>1103812.8906249998</v>
      </c>
      <c r="K38" s="49">
        <f>J38*(1+$C38/4)</f>
        <v>1131408.2128906248</v>
      </c>
      <c r="L38" s="49">
        <f>K38*(1+$C38/4)</f>
        <v>1159693.4182128904</v>
      </c>
      <c r="M38" s="49">
        <f>L38*(1+$C38/4)</f>
        <v>1188685.7536682126</v>
      </c>
      <c r="N38" s="49">
        <f t="shared" si="9"/>
        <v>4583600.275396727</v>
      </c>
      <c r="O38" s="49">
        <f>M38*(1+$C38/4)</f>
        <v>1218402.8975099178</v>
      </c>
      <c r="P38" s="49">
        <f>O38*(1+$C38/4)</f>
        <v>1248862.9699476657</v>
      </c>
      <c r="Q38" s="49">
        <f>P38*(1+$C38/4)</f>
        <v>1280084.5441963573</v>
      </c>
      <c r="R38" s="49">
        <f>Q38*(1+$C38/4)</f>
        <v>1312086.6578012661</v>
      </c>
      <c r="S38" s="49">
        <f t="shared" si="10"/>
        <v>5059437.0694552064</v>
      </c>
      <c r="T38" s="49">
        <f>R38*(1+$C38/4)</f>
        <v>1344888.8242462976</v>
      </c>
      <c r="U38" s="49">
        <f>T38*(1+$C38/4)</f>
        <v>1378511.0448524549</v>
      </c>
      <c r="V38" s="49">
        <f>U38*(1+$C38/4)</f>
        <v>1412973.8209737663</v>
      </c>
      <c r="W38" s="49">
        <f>V38*(1+$C38/4)</f>
        <v>1448298.1664981104</v>
      </c>
      <c r="X38" s="49">
        <f t="shared" si="11"/>
        <v>5584671.8565706294</v>
      </c>
      <c r="Y38" s="49">
        <f>W38*(1+$C38/4)</f>
        <v>1484505.620660563</v>
      </c>
      <c r="Z38" s="49">
        <f>Y38*(1+$C38/4)</f>
        <v>1521618.261177077</v>
      </c>
      <c r="AA38" s="49">
        <f>Z38*(1+$C38/4)</f>
        <v>1559658.7177065038</v>
      </c>
      <c r="AB38" s="49">
        <f>AA38*(1+$C38/4)</f>
        <v>1598650.1856491663</v>
      </c>
      <c r="AC38" s="49">
        <f t="shared" si="12"/>
        <v>6164432.7851933092</v>
      </c>
    </row>
    <row r="39" spans="1:29">
      <c r="B39" s="49" t="s">
        <v>421</v>
      </c>
      <c r="C39" s="105">
        <v>0.02</v>
      </c>
      <c r="D39" s="105" t="s">
        <v>494</v>
      </c>
      <c r="E39" s="49">
        <v>5000000</v>
      </c>
      <c r="F39" s="49">
        <f t="shared" ref="F39:AB39" si="14">E39*(1+$C$39)</f>
        <v>5100000</v>
      </c>
      <c r="G39" s="49">
        <f t="shared" si="14"/>
        <v>5202000</v>
      </c>
      <c r="H39" s="49">
        <f t="shared" si="14"/>
        <v>5306040</v>
      </c>
      <c r="I39" s="49">
        <f>SUM(E39:H39)</f>
        <v>20608040</v>
      </c>
      <c r="J39" s="49">
        <f>H39*(1+$C$39)</f>
        <v>5412160.7999999998</v>
      </c>
      <c r="K39" s="49">
        <f t="shared" si="14"/>
        <v>5520404.0159999998</v>
      </c>
      <c r="L39" s="49">
        <f t="shared" si="14"/>
        <v>5630812.0963199995</v>
      </c>
      <c r="M39" s="49">
        <f t="shared" si="14"/>
        <v>5743428.3382463995</v>
      </c>
      <c r="N39" s="49">
        <f t="shared" si="9"/>
        <v>22306805.250566401</v>
      </c>
      <c r="O39" s="49">
        <f>M39*(1+$C$39)</f>
        <v>5858296.9050113279</v>
      </c>
      <c r="P39" s="49">
        <f t="shared" si="14"/>
        <v>5975462.8431115542</v>
      </c>
      <c r="Q39" s="49">
        <f t="shared" si="14"/>
        <v>6094972.0999737857</v>
      </c>
      <c r="R39" s="49">
        <f t="shared" si="14"/>
        <v>6216871.5419732612</v>
      </c>
      <c r="S39" s="49">
        <f t="shared" si="10"/>
        <v>24145603.390069932</v>
      </c>
      <c r="T39" s="49">
        <f>R39*(1+$C$39)</f>
        <v>6341208.9728127262</v>
      </c>
      <c r="U39" s="49">
        <f t="shared" si="14"/>
        <v>6468033.1522689806</v>
      </c>
      <c r="V39" s="49">
        <f t="shared" si="14"/>
        <v>6597393.81531436</v>
      </c>
      <c r="W39" s="49">
        <f t="shared" si="14"/>
        <v>6729341.691620647</v>
      </c>
      <c r="X39" s="49">
        <f t="shared" si="11"/>
        <v>26135977.632016715</v>
      </c>
      <c r="Y39" s="49">
        <f>W39*(1+$C$39)</f>
        <v>6863928.5254530599</v>
      </c>
      <c r="Z39" s="49">
        <f t="shared" si="14"/>
        <v>7001207.0959621212</v>
      </c>
      <c r="AA39" s="49">
        <f t="shared" si="14"/>
        <v>7141231.2378813634</v>
      </c>
      <c r="AB39" s="49">
        <f t="shared" si="14"/>
        <v>7284055.8626389904</v>
      </c>
      <c r="AC39" s="49">
        <f t="shared" si="12"/>
        <v>28290422.721935537</v>
      </c>
    </row>
    <row r="40" spans="1:29">
      <c r="B40" s="49" t="s">
        <v>489</v>
      </c>
      <c r="C40" s="105">
        <v>0.03</v>
      </c>
      <c r="D40" s="49" t="s">
        <v>495</v>
      </c>
      <c r="E40" s="49">
        <f>$C40*E12</f>
        <v>0</v>
      </c>
      <c r="F40" s="49">
        <f>$C40*F12</f>
        <v>0</v>
      </c>
      <c r="G40" s="49">
        <f>$C40*G12</f>
        <v>60842065.5</v>
      </c>
      <c r="H40" s="49">
        <f>$C40*H12</f>
        <v>63054504.245454542</v>
      </c>
      <c r="I40" s="49">
        <f>SUM(E40:H40)</f>
        <v>123896569.74545455</v>
      </c>
      <c r="J40" s="49">
        <f>$C40*J12</f>
        <v>63134956.563471071</v>
      </c>
      <c r="K40" s="49">
        <f>$C40*K12</f>
        <v>63137882.102308035</v>
      </c>
      <c r="L40" s="49">
        <f>$C40*L12</f>
        <v>64851849.485538483</v>
      </c>
      <c r="M40" s="49">
        <f>$C40*M12</f>
        <v>64914175.572201386</v>
      </c>
      <c r="N40" s="49">
        <f t="shared" si="9"/>
        <v>256038863.72351897</v>
      </c>
      <c r="O40" s="49">
        <f>$C40*O12</f>
        <v>64916441.975352786</v>
      </c>
      <c r="P40" s="49">
        <f>$C40*P12</f>
        <v>64916524.390012823</v>
      </c>
      <c r="Q40" s="49">
        <f>$C40*Q12</f>
        <v>66630388.386909552</v>
      </c>
      <c r="R40" s="49">
        <f>$C40*R12</f>
        <v>66692710.714069434</v>
      </c>
      <c r="S40" s="49">
        <f t="shared" si="10"/>
        <v>263156065.46634459</v>
      </c>
      <c r="T40" s="49">
        <f>$C40*T12</f>
        <v>66694976.980511628</v>
      </c>
      <c r="U40" s="49">
        <f>$C40*U12</f>
        <v>66695059.390200414</v>
      </c>
      <c r="V40" s="49">
        <f>$C40*V12</f>
        <v>68408923.386916384</v>
      </c>
      <c r="W40" s="49">
        <f>$C40*W12</f>
        <v>68471245.714069679</v>
      </c>
      <c r="X40" s="49">
        <f t="shared" si="11"/>
        <v>270270205.47169811</v>
      </c>
      <c r="Y40" s="49">
        <f>$C40*Y12</f>
        <v>68473511.980511636</v>
      </c>
      <c r="Z40" s="49">
        <f>$C40*Z12</f>
        <v>68473594.390200421</v>
      </c>
      <c r="AA40" s="49">
        <f>$C40*AA12</f>
        <v>70187458.386916384</v>
      </c>
      <c r="AB40" s="49">
        <f>$C40*AB12</f>
        <v>70249780.714069694</v>
      </c>
      <c r="AC40" s="49">
        <f t="shared" si="12"/>
        <v>277384345.47169816</v>
      </c>
    </row>
    <row r="41" spans="1:29" ht="4.95" customHeight="1"/>
    <row r="42" spans="1:29" s="47" customFormat="1">
      <c r="A42" s="102" t="s">
        <v>367</v>
      </c>
      <c r="B42" s="87" t="s">
        <v>105</v>
      </c>
      <c r="C42" s="87"/>
      <c r="D42" s="87"/>
      <c r="E42" s="87">
        <f>E27+E35+SUM(E37:E40)</f>
        <v>615102599.7428571</v>
      </c>
      <c r="F42" s="87">
        <f t="shared" ref="F42:AC42" si="15">F27+F35+SUM(F37:F40)</f>
        <v>802769314.75</v>
      </c>
      <c r="G42" s="87">
        <f t="shared" si="15"/>
        <v>2489319312.7890878</v>
      </c>
      <c r="H42" s="87">
        <f t="shared" si="15"/>
        <v>2485411392.1076841</v>
      </c>
      <c r="I42" s="87">
        <f t="shared" si="15"/>
        <v>6392602619.3896294</v>
      </c>
      <c r="J42" s="87">
        <f t="shared" si="15"/>
        <v>2581492725.2031808</v>
      </c>
      <c r="K42" s="87">
        <f t="shared" si="15"/>
        <v>2518821351.8594189</v>
      </c>
      <c r="L42" s="87">
        <f t="shared" si="15"/>
        <v>2653471135.9052401</v>
      </c>
      <c r="M42" s="87">
        <f t="shared" si="15"/>
        <v>2390466829.3305635</v>
      </c>
      <c r="N42" s="87">
        <f t="shared" si="15"/>
        <v>10144252042.298403</v>
      </c>
      <c r="O42" s="87">
        <f t="shared" si="15"/>
        <v>2375034916.4355998</v>
      </c>
      <c r="P42" s="87">
        <f t="shared" si="15"/>
        <v>2349800806.5944777</v>
      </c>
      <c r="Q42" s="87">
        <f t="shared" si="15"/>
        <v>2797399311.5890937</v>
      </c>
      <c r="R42" s="87">
        <f t="shared" si="15"/>
        <v>2532544327.2131224</v>
      </c>
      <c r="S42" s="87">
        <f t="shared" si="15"/>
        <v>10054779361.832294</v>
      </c>
      <c r="T42" s="87">
        <f t="shared" si="15"/>
        <v>2516419760.1734166</v>
      </c>
      <c r="U42" s="87">
        <f t="shared" si="15"/>
        <v>2503943196.7665701</v>
      </c>
      <c r="V42" s="87">
        <f t="shared" si="15"/>
        <v>2773281023.7789068</v>
      </c>
      <c r="W42" s="87">
        <f t="shared" si="15"/>
        <v>2767908179.3709369</v>
      </c>
      <c r="X42" s="87">
        <f t="shared" si="15"/>
        <v>10561552160.089832</v>
      </c>
      <c r="Y42" s="87">
        <f t="shared" si="15"/>
        <v>2750297270.8171082</v>
      </c>
      <c r="Z42" s="87">
        <f t="shared" si="15"/>
        <v>2672013041.3395791</v>
      </c>
      <c r="AA42" s="87">
        <f t="shared" si="15"/>
        <v>2877104950.7852244</v>
      </c>
      <c r="AB42" s="87">
        <f t="shared" si="15"/>
        <v>3006670873.7208109</v>
      </c>
      <c r="AC42" s="87">
        <f t="shared" si="15"/>
        <v>11306086136.662724</v>
      </c>
    </row>
    <row r="43" spans="1:29" ht="4.2" customHeight="1">
      <c r="H43" s="69"/>
      <c r="I43" s="69"/>
    </row>
    <row r="44" spans="1:29" s="47" customFormat="1">
      <c r="A44" s="47" t="s">
        <v>367</v>
      </c>
      <c r="B44" s="87" t="s">
        <v>291</v>
      </c>
      <c r="C44" s="87"/>
      <c r="D44" s="87"/>
      <c r="E44" s="87">
        <f>E17-E42</f>
        <v>216011685.97142863</v>
      </c>
      <c r="F44" s="87">
        <f>F17-F42</f>
        <v>178662113.82142866</v>
      </c>
      <c r="G44" s="87">
        <f>G17-G42</f>
        <v>620540058.538661</v>
      </c>
      <c r="H44" s="87">
        <f>H17-H42</f>
        <v>702952367.15137911</v>
      </c>
      <c r="I44" s="87">
        <f>SUM(E44:H44)</f>
        <v>1718166225.4828973</v>
      </c>
      <c r="J44" s="87">
        <f>J17-J42</f>
        <v>627476505.4594388</v>
      </c>
      <c r="K44" s="87">
        <f>K17-K42</f>
        <v>619668241.65716743</v>
      </c>
      <c r="L44" s="87">
        <f>L17-L42</f>
        <v>679029289.5568409</v>
      </c>
      <c r="M44" s="87">
        <f>M17-M42</f>
        <v>1035150368.0700016</v>
      </c>
      <c r="N44" s="87">
        <f>SUM(J44:M44)</f>
        <v>2961324404.7434487</v>
      </c>
      <c r="O44" s="87">
        <f>O17-O42</f>
        <v>961292424.13264799</v>
      </c>
      <c r="P44" s="87">
        <f>P17-P42</f>
        <v>911097614.63055372</v>
      </c>
      <c r="Q44" s="87">
        <f>Q17-Q42</f>
        <v>752030300.17929697</v>
      </c>
      <c r="R44" s="87">
        <f>R17-R42</f>
        <v>1104826312.7520375</v>
      </c>
      <c r="S44" s="87">
        <f>SUM(O44:R44)</f>
        <v>3729246651.6945362</v>
      </c>
      <c r="T44" s="87">
        <f>T17-T42</f>
        <v>1017819519.9072671</v>
      </c>
      <c r="U44" s="87">
        <f>U17-U42</f>
        <v>943009602.07907152</v>
      </c>
      <c r="V44" s="87">
        <f>V17-V42</f>
        <v>938186036.083004</v>
      </c>
      <c r="W44" s="87">
        <f>W17-W42</f>
        <v>1162173757.3334403</v>
      </c>
      <c r="X44" s="87">
        <f>SUM(T44:W44)</f>
        <v>4061188915.4027829</v>
      </c>
      <c r="Y44" s="87">
        <f>Y17-Y42</f>
        <v>1052793529.4540658</v>
      </c>
      <c r="Z44" s="87">
        <f>Z17-Z42</f>
        <v>1024903641.6584291</v>
      </c>
      <c r="AA44" s="87">
        <f>AA17-AA42</f>
        <v>1012178141.8994622</v>
      </c>
      <c r="AB44" s="87">
        <f>AB17-AB42</f>
        <v>1253149978.9777598</v>
      </c>
      <c r="AC44" s="87">
        <f>SUM(Y44:AB44)</f>
        <v>4343025291.9897175</v>
      </c>
    </row>
    <row r="45" spans="1:29" s="47" customFormat="1" ht="4.95" customHeight="1"/>
    <row r="46" spans="1:29" s="50" customFormat="1">
      <c r="B46" s="99" t="s">
        <v>292</v>
      </c>
      <c r="C46" s="99"/>
      <c r="D46" s="99"/>
      <c r="E46" s="99">
        <f>-(BS!E162+BS!E168)</f>
        <v>45302309.735250004</v>
      </c>
      <c r="F46" s="99">
        <f>-(BS!F162+BS!F168)</f>
        <v>43603473.120178126</v>
      </c>
      <c r="G46" s="99">
        <f>-(BS!G162+BS!G168)</f>
        <v>116163684.75092144</v>
      </c>
      <c r="H46" s="99">
        <f>-(BS!H162+BS!H168)</f>
        <v>111807546.57276189</v>
      </c>
      <c r="I46" s="99">
        <f>SUM(E46:H46)</f>
        <v>316877014.17911148</v>
      </c>
      <c r="J46" s="99">
        <f>-(BS!I162+BS!I168)</f>
        <v>107614763.57628331</v>
      </c>
      <c r="K46" s="99">
        <f>-(BS!J162+BS!J168)</f>
        <v>103579209.94217268</v>
      </c>
      <c r="L46" s="99">
        <f>-(BS!K162+BS!K168)</f>
        <v>99694989.569341213</v>
      </c>
      <c r="M46" s="99">
        <f>-(BS!L162+BS!L168)</f>
        <v>95956427.460490912</v>
      </c>
      <c r="N46" s="99">
        <f>SUM(J46:M46)</f>
        <v>406845390.54828811</v>
      </c>
      <c r="O46" s="99">
        <f>-(BS!M162+BS!M168)</f>
        <v>92358061.430722505</v>
      </c>
      <c r="P46" s="99">
        <f>-(BS!N162+BS!N168)</f>
        <v>88894634.127070412</v>
      </c>
      <c r="Q46" s="99">
        <f>-(BS!O162+BS!O168)</f>
        <v>85561085.347305268</v>
      </c>
      <c r="R46" s="99">
        <f>-(BS!P162+BS!P168)</f>
        <v>82352544.646781325</v>
      </c>
      <c r="S46" s="99">
        <f>SUM(O46:R46)</f>
        <v>349166325.55187953</v>
      </c>
      <c r="T46" s="99">
        <f>-(BS!Q162+BS!Q168)</f>
        <v>79264324.222527027</v>
      </c>
      <c r="U46" s="99">
        <f>-(BS!R162+BS!R168)</f>
        <v>76291912.064182267</v>
      </c>
      <c r="V46" s="99">
        <f>-(BS!S162+BS!S168)</f>
        <v>73430965.361775428</v>
      </c>
      <c r="W46" s="99">
        <f>-(BS!T162+BS!T168)</f>
        <v>70677304.16070886</v>
      </c>
      <c r="X46" s="99">
        <f>SUM(T46:W46)</f>
        <v>299664505.80919361</v>
      </c>
      <c r="Y46" s="99">
        <f>-(BS!U162+BS!U168)</f>
        <v>68026905.254682273</v>
      </c>
      <c r="Z46" s="99">
        <f>-(BS!V162+BS!V168)</f>
        <v>65475896.307631694</v>
      </c>
      <c r="AA46" s="99">
        <f>-(BS!W162+BS!W168)</f>
        <v>63020550.196095504</v>
      </c>
      <c r="AB46" s="99">
        <f>-(BS!X162+BS!X168)</f>
        <v>60657279.563741922</v>
      </c>
      <c r="AC46" s="99">
        <f>SUM(Y46:AB46)</f>
        <v>257180631.32215139</v>
      </c>
    </row>
    <row r="47" spans="1:29">
      <c r="B47" s="49" t="s">
        <v>106</v>
      </c>
      <c r="C47" s="49"/>
      <c r="D47" s="49"/>
      <c r="E47" s="49">
        <f>BS!E175</f>
        <v>93282407.088550001</v>
      </c>
      <c r="F47" s="49">
        <f>BS!F175</f>
        <v>98489476.529953927</v>
      </c>
      <c r="G47" s="49">
        <f>BS!G175</f>
        <v>95443825.996652558</v>
      </c>
      <c r="H47" s="49">
        <f>BS!H175</f>
        <v>92434099.179217637</v>
      </c>
      <c r="I47" s="99">
        <f>SUM(E47:H47)</f>
        <v>379649808.79437411</v>
      </c>
      <c r="J47" s="49">
        <f>BS!I175</f>
        <v>89457412.529193893</v>
      </c>
      <c r="K47" s="49">
        <f>BS!J175</f>
        <v>86510959.438111961</v>
      </c>
      <c r="L47" s="49">
        <f>BS!K175</f>
        <v>83592006.701036453</v>
      </c>
      <c r="M47" s="49">
        <f>BS!L175</f>
        <v>21408071.292805173</v>
      </c>
      <c r="N47" s="99">
        <f>SUM(J47:M47)</f>
        <v>280968449.96114749</v>
      </c>
      <c r="O47" s="49">
        <f>BS!M175</f>
        <v>20783038.517197251</v>
      </c>
      <c r="P47" s="49">
        <f>BS!N175</f>
        <v>20148630.249955207</v>
      </c>
      <c r="Q47" s="49">
        <f>BS!O175</f>
        <v>19504705.858704533</v>
      </c>
      <c r="R47" s="49">
        <f>BS!P175</f>
        <v>18851122.601585105</v>
      </c>
      <c r="S47" s="99">
        <f>SUM(O47:R47)</f>
        <v>79287497.227442101</v>
      </c>
      <c r="T47" s="49">
        <f>BS!Q175</f>
        <v>18187735.595608883</v>
      </c>
      <c r="U47" s="49">
        <f>BS!R175</f>
        <v>17514397.784543015</v>
      </c>
      <c r="V47" s="49">
        <f>BS!S175</f>
        <v>16830959.906311162</v>
      </c>
      <c r="W47" s="49">
        <f>BS!T175</f>
        <v>16137270.459905829</v>
      </c>
      <c r="X47" s="49">
        <f>SUM(T47:W47)</f>
        <v>68670363.746368885</v>
      </c>
      <c r="Y47" s="49">
        <f>BS!U175</f>
        <v>15433175.671804419</v>
      </c>
      <c r="Z47" s="49">
        <f>BS!V175</f>
        <v>14718519.461881485</v>
      </c>
      <c r="AA47" s="49">
        <f>BS!W175</f>
        <v>13993143.408809707</v>
      </c>
      <c r="AB47" s="49">
        <f>BS!X175</f>
        <v>13256886.714941852</v>
      </c>
      <c r="AC47" s="99">
        <f>SUM(Y47:AB47)</f>
        <v>57401725.25743746</v>
      </c>
    </row>
    <row r="48" spans="1:29" ht="5.7" customHeight="1"/>
    <row r="49" spans="1:30" s="47" customFormat="1">
      <c r="A49" s="47" t="s">
        <v>367</v>
      </c>
      <c r="B49" s="87" t="s">
        <v>107</v>
      </c>
      <c r="C49" s="87"/>
      <c r="D49" s="87"/>
      <c r="E49" s="87">
        <f>E44-E47-E46</f>
        <v>77426969.147628635</v>
      </c>
      <c r="F49" s="87">
        <f>F44-F47-F46</f>
        <v>36569164.171296604</v>
      </c>
      <c r="G49" s="87">
        <f>G44-G47-G46</f>
        <v>408932547.79108703</v>
      </c>
      <c r="H49" s="87">
        <f>H44-H47-H46</f>
        <v>498710721.39939964</v>
      </c>
      <c r="I49" s="87">
        <f>SUM(E49:H49)</f>
        <v>1021639402.5094119</v>
      </c>
      <c r="J49" s="87">
        <f>J44-J47-J46</f>
        <v>430404329.35396159</v>
      </c>
      <c r="K49" s="87">
        <f>K44-K47-K46</f>
        <v>429578072.27688277</v>
      </c>
      <c r="L49" s="87">
        <f>L44-L47-L46</f>
        <v>495742293.28646326</v>
      </c>
      <c r="M49" s="87">
        <f>M44-M47-M46</f>
        <v>917785869.31670547</v>
      </c>
      <c r="N49" s="87">
        <f>SUM(J49:M49)</f>
        <v>2273510564.2340131</v>
      </c>
      <c r="O49" s="87">
        <f>O44-O47-O46</f>
        <v>848151324.18472826</v>
      </c>
      <c r="P49" s="87">
        <f>P44-P47-P46</f>
        <v>802054350.25352812</v>
      </c>
      <c r="Q49" s="87">
        <f>Q44-Q47-Q46</f>
        <v>646964508.97328711</v>
      </c>
      <c r="R49" s="87">
        <f>R44-R47-R46</f>
        <v>1003622645.5036711</v>
      </c>
      <c r="S49" s="87">
        <f>SUM(O49:R49)</f>
        <v>3300792828.9152145</v>
      </c>
      <c r="T49" s="87">
        <f>T44-T47-T46</f>
        <v>920367460.08913124</v>
      </c>
      <c r="U49" s="87">
        <f>U44-U47-U46</f>
        <v>849203292.2303462</v>
      </c>
      <c r="V49" s="87">
        <f>V44-V47-V46</f>
        <v>847924110.81491745</v>
      </c>
      <c r="W49" s="87">
        <f>W44-W47-W46</f>
        <v>1075359182.7128255</v>
      </c>
      <c r="X49" s="87">
        <f>SUM(T49:W49)</f>
        <v>3692854045.8472204</v>
      </c>
      <c r="Y49" s="87">
        <f>Y44-Y47-Y46</f>
        <v>969333448.52757907</v>
      </c>
      <c r="Z49" s="87">
        <f>Z44-Z47-Z46</f>
        <v>944709225.8889159</v>
      </c>
      <c r="AA49" s="87">
        <f>AA44-AA47-AA46</f>
        <v>935164448.29455709</v>
      </c>
      <c r="AB49" s="87">
        <f>AB44-AB47-AB46</f>
        <v>1179235812.6990762</v>
      </c>
      <c r="AC49" s="87">
        <f>SUM(Y49:AB49)</f>
        <v>4028442935.4101281</v>
      </c>
    </row>
    <row r="50" spans="1:30" s="47" customFormat="1" ht="5.7" customHeight="1"/>
    <row r="51" spans="1:30">
      <c r="B51" s="49" t="s">
        <v>108</v>
      </c>
      <c r="C51" s="106">
        <v>0.25169999999999998</v>
      </c>
      <c r="D51" s="49"/>
      <c r="E51" s="49">
        <f>E49*$C$51</f>
        <v>19488368.134458125</v>
      </c>
      <c r="F51" s="49">
        <f t="shared" ref="F51:AB51" si="16">F49*$C$51</f>
        <v>9204458.6219153553</v>
      </c>
      <c r="G51" s="49">
        <f>G49*$C$51</f>
        <v>102928322.2790166</v>
      </c>
      <c r="H51" s="49">
        <f>H49*$C$51</f>
        <v>125525488.57622887</v>
      </c>
      <c r="I51" s="99">
        <f>I49*($C51)</f>
        <v>257146637.61161897</v>
      </c>
      <c r="J51" s="49">
        <f>J49*$C$51</f>
        <v>108332769.69839212</v>
      </c>
      <c r="K51" s="49">
        <f t="shared" si="16"/>
        <v>108124800.79209138</v>
      </c>
      <c r="L51" s="49">
        <f>L49*$C$51</f>
        <v>124778335.22020279</v>
      </c>
      <c r="M51" s="49">
        <f>M49*$C$51</f>
        <v>231006703.30701473</v>
      </c>
      <c r="N51" s="49">
        <f>SUM(J51:M51)</f>
        <v>572242609.01770103</v>
      </c>
      <c r="O51" s="49">
        <f t="shared" si="16"/>
        <v>213479688.29729608</v>
      </c>
      <c r="P51" s="49">
        <f t="shared" si="16"/>
        <v>201877079.95881301</v>
      </c>
      <c r="Q51" s="49">
        <f t="shared" si="16"/>
        <v>162840966.90857634</v>
      </c>
      <c r="R51" s="49">
        <f t="shared" si="16"/>
        <v>252611819.87327397</v>
      </c>
      <c r="S51" s="49">
        <f>SUM(O51:R51)</f>
        <v>830809555.03795946</v>
      </c>
      <c r="T51" s="49">
        <f t="shared" si="16"/>
        <v>231656489.70443431</v>
      </c>
      <c r="U51" s="49">
        <f t="shared" si="16"/>
        <v>213744468.65437812</v>
      </c>
      <c r="V51" s="49">
        <f t="shared" si="16"/>
        <v>213422498.69211471</v>
      </c>
      <c r="W51" s="49">
        <f t="shared" si="16"/>
        <v>270667906.28881818</v>
      </c>
      <c r="X51" s="49">
        <f>SUM(T51:W51)</f>
        <v>929491363.33974528</v>
      </c>
      <c r="Y51" s="49">
        <f t="shared" si="16"/>
        <v>243981228.99439162</v>
      </c>
      <c r="Z51" s="49">
        <f t="shared" si="16"/>
        <v>237783312.15624011</v>
      </c>
      <c r="AA51" s="49">
        <f t="shared" si="16"/>
        <v>235380891.63574001</v>
      </c>
      <c r="AB51" s="49">
        <f t="shared" si="16"/>
        <v>296813654.05635744</v>
      </c>
      <c r="AC51" s="49">
        <f>SUM(Y51:AB51)</f>
        <v>1013959086.8427291</v>
      </c>
    </row>
    <row r="52" spans="1:30" ht="5.7" customHeight="1">
      <c r="C52" s="72"/>
      <c r="H52" s="69"/>
      <c r="I52" s="69"/>
    </row>
    <row r="53" spans="1:30" s="47" customFormat="1">
      <c r="A53" s="47" t="s">
        <v>367</v>
      </c>
      <c r="B53" s="87" t="s">
        <v>109</v>
      </c>
      <c r="C53" s="87"/>
      <c r="D53" s="87"/>
      <c r="E53" s="87">
        <f>E49-E51</f>
        <v>57938601.013170511</v>
      </c>
      <c r="F53" s="87">
        <f>F49-F51</f>
        <v>27364705.549381249</v>
      </c>
      <c r="G53" s="87">
        <f t="shared" ref="G53:AB53" si="17">G49-G51</f>
        <v>306004225.51207042</v>
      </c>
      <c r="H53" s="87">
        <f>H49-H51</f>
        <v>373185232.82317078</v>
      </c>
      <c r="I53" s="87">
        <f>SUM(E53:H53)</f>
        <v>764492764.89779294</v>
      </c>
      <c r="J53" s="87">
        <f>J49-J51</f>
        <v>322071559.65556943</v>
      </c>
      <c r="K53" s="87">
        <f>K49-K51</f>
        <v>321453271.4847914</v>
      </c>
      <c r="L53" s="87">
        <f>L49-L51</f>
        <v>370963958.06626046</v>
      </c>
      <c r="M53" s="87">
        <f>M49-M51</f>
        <v>686779166.00969076</v>
      </c>
      <c r="N53" s="87">
        <f>SUM(J53:M53)</f>
        <v>1701267955.2163119</v>
      </c>
      <c r="O53" s="87">
        <f t="shared" si="17"/>
        <v>634671635.88743222</v>
      </c>
      <c r="P53" s="87">
        <f t="shared" si="17"/>
        <v>600177270.29471517</v>
      </c>
      <c r="Q53" s="87">
        <f t="shared" si="17"/>
        <v>484123542.06471074</v>
      </c>
      <c r="R53" s="87">
        <f t="shared" si="17"/>
        <v>751010825.63039708</v>
      </c>
      <c r="S53" s="87">
        <f>SUM(O53:R53)</f>
        <v>2469983273.8772554</v>
      </c>
      <c r="T53" s="87">
        <f t="shared" si="17"/>
        <v>688710970.38469696</v>
      </c>
      <c r="U53" s="87">
        <f t="shared" si="17"/>
        <v>635458823.57596803</v>
      </c>
      <c r="V53" s="87">
        <f t="shared" si="17"/>
        <v>634501612.12280273</v>
      </c>
      <c r="W53" s="87">
        <f t="shared" si="17"/>
        <v>804691276.42400742</v>
      </c>
      <c r="X53" s="87">
        <f>SUM(T53:W53)</f>
        <v>2763362682.5074749</v>
      </c>
      <c r="Y53" s="87">
        <f t="shared" si="17"/>
        <v>725352219.53318739</v>
      </c>
      <c r="Z53" s="87">
        <f t="shared" si="17"/>
        <v>706925913.73267579</v>
      </c>
      <c r="AA53" s="87">
        <f t="shared" si="17"/>
        <v>699783556.65881705</v>
      </c>
      <c r="AB53" s="87">
        <f t="shared" si="17"/>
        <v>882422158.64271879</v>
      </c>
      <c r="AC53" s="87">
        <f>SUM(Y53:AB53)</f>
        <v>3014483848.567399</v>
      </c>
      <c r="AD53" s="9"/>
    </row>
    <row r="54" spans="1:30" s="7" customFormat="1">
      <c r="E54" s="7">
        <f t="shared" ref="E54:M54" si="18">E53/E17</f>
        <v>6.9711954190964556E-2</v>
      </c>
      <c r="F54" s="7">
        <f t="shared" si="18"/>
        <v>2.7882442677847914E-2</v>
      </c>
      <c r="G54" s="7">
        <f t="shared" si="18"/>
        <v>9.8398091030535081E-2</v>
      </c>
      <c r="H54" s="7">
        <f t="shared" si="18"/>
        <v>0.11704600258970904</v>
      </c>
      <c r="I54" s="72">
        <f t="shared" si="18"/>
        <v>9.4256510020143236E-2</v>
      </c>
      <c r="J54" s="72">
        <f t="shared" si="18"/>
        <v>0.10036604794402</v>
      </c>
      <c r="K54" s="72">
        <f t="shared" si="18"/>
        <v>0.10242292093268099</v>
      </c>
      <c r="L54" s="72">
        <f t="shared" si="18"/>
        <v>0.11131700246214461</v>
      </c>
      <c r="M54" s="72">
        <f t="shared" si="18"/>
        <v>0.20048333670523202</v>
      </c>
      <c r="N54" s="72">
        <f>AVERAGE(J54:M54)</f>
        <v>0.12864732701101941</v>
      </c>
      <c r="O54" s="72">
        <f>O53/O17</f>
        <v>0.19023062520577913</v>
      </c>
      <c r="P54" s="72">
        <f>P53/P17</f>
        <v>0.18405273417540091</v>
      </c>
      <c r="Q54" s="176">
        <f>Q53/Q17</f>
        <v>0.13639474366798657</v>
      </c>
      <c r="R54" s="176">
        <f>R53/R17</f>
        <v>0.20647079991759942</v>
      </c>
      <c r="S54" s="176">
        <f>AVERAGE(O54:R54)</f>
        <v>0.17928722574169151</v>
      </c>
      <c r="T54" s="72">
        <f>T53/T17</f>
        <v>0.19486823494559041</v>
      </c>
      <c r="U54" s="72">
        <f>U53/U17</f>
        <v>0.18435379323696524</v>
      </c>
      <c r="V54" s="72">
        <f>V53/V17</f>
        <v>0.17095709106102375</v>
      </c>
      <c r="W54" s="72">
        <f>W53/W17</f>
        <v>0.20475178110377823</v>
      </c>
      <c r="X54" s="72">
        <f>AVERAGE(T54:W54)</f>
        <v>0.18873272508683941</v>
      </c>
      <c r="Y54" s="72">
        <f>Y53/Y17</f>
        <v>0.19072703167683169</v>
      </c>
      <c r="Z54" s="72">
        <f>Z53/Z17</f>
        <v>0.19122040726094899</v>
      </c>
      <c r="AA54" s="72">
        <f>AA53/AA17</f>
        <v>0.17992610462710543</v>
      </c>
      <c r="AB54" s="72">
        <f>AB53/AB17</f>
        <v>0.20715006314965329</v>
      </c>
      <c r="AC54" s="72">
        <f>AVERAGE(Y54:AB54)</f>
        <v>0.19225590167863488</v>
      </c>
    </row>
    <row r="56" spans="1:30" s="69" customFormat="1">
      <c r="B56" s="99" t="s">
        <v>388</v>
      </c>
      <c r="C56" s="99"/>
      <c r="D56" s="99"/>
      <c r="E56" s="99">
        <f t="shared" ref="E56:AC56" si="19">1-SUM(E21:E26)/SUM(E7:E10)</f>
        <v>0.27832937258243606</v>
      </c>
      <c r="F56" s="99">
        <f t="shared" si="19"/>
        <v>0.19792905289399787</v>
      </c>
      <c r="G56" s="99">
        <f t="shared" si="19"/>
        <v>0.25269722127630256</v>
      </c>
      <c r="H56" s="99">
        <f t="shared" si="19"/>
        <v>0.29695871018604136</v>
      </c>
      <c r="I56" s="189">
        <f t="shared" si="19"/>
        <v>0.25237304067025912</v>
      </c>
      <c r="J56" s="189">
        <f t="shared" si="19"/>
        <v>0.19127755697221593</v>
      </c>
      <c r="K56" s="189">
        <f t="shared" si="19"/>
        <v>0.19033848673637299</v>
      </c>
      <c r="L56" s="189">
        <f t="shared" si="19"/>
        <v>0.39866772882109813</v>
      </c>
      <c r="M56" s="189">
        <f t="shared" si="19"/>
        <v>0.33283647613639333</v>
      </c>
      <c r="N56" s="189">
        <f t="shared" si="19"/>
        <v>0.28499905937502268</v>
      </c>
      <c r="O56" s="189">
        <f t="shared" si="19"/>
        <v>0.27438979942242026</v>
      </c>
      <c r="P56" s="189">
        <f t="shared" si="19"/>
        <v>0.27341947900220454</v>
      </c>
      <c r="Q56" s="189">
        <f t="shared" si="19"/>
        <v>0.40047785745481579</v>
      </c>
      <c r="R56" s="189">
        <f t="shared" si="19"/>
        <v>0.3317165673702156</v>
      </c>
      <c r="S56" s="189">
        <f t="shared" si="19"/>
        <v>0.32519654563836031</v>
      </c>
      <c r="T56" s="189">
        <f t="shared" si="19"/>
        <v>0.27146814665743735</v>
      </c>
      <c r="U56" s="189">
        <f t="shared" si="19"/>
        <v>0.27054034564819951</v>
      </c>
      <c r="V56" s="189">
        <f t="shared" si="19"/>
        <v>0.41794781742555909</v>
      </c>
      <c r="W56" s="189">
        <f t="shared" si="19"/>
        <v>0.33112918135109559</v>
      </c>
      <c r="X56" s="189">
        <f t="shared" si="19"/>
        <v>0.32719714332748995</v>
      </c>
      <c r="Y56" s="189">
        <f t="shared" si="19"/>
        <v>0.26864061001422523</v>
      </c>
      <c r="Z56" s="189">
        <f t="shared" si="19"/>
        <v>0.26779593758885434</v>
      </c>
      <c r="AA56" s="189">
        <f t="shared" si="19"/>
        <v>0.42975303823265998</v>
      </c>
      <c r="AB56" s="189">
        <f t="shared" si="19"/>
        <v>0.3188047545076037</v>
      </c>
      <c r="AC56" s="189">
        <f t="shared" si="19"/>
        <v>0.32261330742772076</v>
      </c>
    </row>
    <row r="57" spans="1:30" s="119" customFormat="1">
      <c r="B57" s="99" t="s">
        <v>389</v>
      </c>
      <c r="C57" s="99"/>
      <c r="D57" s="99"/>
      <c r="E57" s="99"/>
      <c r="F57" s="99"/>
      <c r="G57" s="99">
        <f t="shared" ref="G57:AC57" si="20">1-SUM(G29:G34)/SUM(G12:G13)</f>
        <v>0.21438323954259242</v>
      </c>
      <c r="H57" s="99">
        <f t="shared" si="20"/>
        <v>0.22916082877077149</v>
      </c>
      <c r="I57" s="189">
        <f t="shared" si="20"/>
        <v>0.22044883221019262</v>
      </c>
      <c r="J57" s="189">
        <f t="shared" si="20"/>
        <v>0.22742774822233702</v>
      </c>
      <c r="K57" s="189">
        <f t="shared" si="20"/>
        <v>0.23005889940282087</v>
      </c>
      <c r="L57" s="189">
        <f t="shared" si="20"/>
        <v>0.17524089915314089</v>
      </c>
      <c r="M57" s="189">
        <f t="shared" si="20"/>
        <v>0.32268119301404696</v>
      </c>
      <c r="N57" s="189">
        <f t="shared" si="20"/>
        <v>0.23902804098421326</v>
      </c>
      <c r="O57" s="189">
        <f t="shared" si="20"/>
        <v>0.32325784340230423</v>
      </c>
      <c r="P57" s="189">
        <f t="shared" si="20"/>
        <v>0.31211198435544441</v>
      </c>
      <c r="Q57" s="189">
        <f t="shared" si="20"/>
        <v>0.17733261576856052</v>
      </c>
      <c r="R57" s="189">
        <f t="shared" si="20"/>
        <v>0.3243187955485165</v>
      </c>
      <c r="S57" s="189">
        <f t="shared" si="20"/>
        <v>0.28381281238741507</v>
      </c>
      <c r="T57" s="189">
        <f t="shared" si="20"/>
        <v>0.3248659708297954</v>
      </c>
      <c r="U57" s="189">
        <f t="shared" si="20"/>
        <v>0.30590160537193323</v>
      </c>
      <c r="V57" s="189">
        <f t="shared" si="20"/>
        <v>0.22332206048404879</v>
      </c>
      <c r="W57" s="189">
        <f t="shared" si="20"/>
        <v>0.31139286114168152</v>
      </c>
      <c r="X57" s="189">
        <f t="shared" si="20"/>
        <v>0.29105616634314413</v>
      </c>
      <c r="Y57" s="189">
        <f t="shared" si="20"/>
        <v>0.31170263686098376</v>
      </c>
      <c r="Z57" s="189">
        <f t="shared" si="20"/>
        <v>0.31235968957614435</v>
      </c>
      <c r="AA57" s="189">
        <f t="shared" si="20"/>
        <v>0.22534301538549106</v>
      </c>
      <c r="AB57" s="189">
        <f t="shared" si="20"/>
        <v>0.31314152454729316</v>
      </c>
      <c r="AC57" s="189">
        <f t="shared" si="20"/>
        <v>0.29036681361138439</v>
      </c>
    </row>
    <row r="58" spans="1:30" s="7" customFormat="1"/>
    <row r="59" spans="1:30" hidden="1" outlineLevel="1">
      <c r="A59" s="100" t="s">
        <v>367</v>
      </c>
      <c r="B59" s="47" t="s">
        <v>288</v>
      </c>
    </row>
    <row r="60" spans="1:30" hidden="1" outlineLevel="1">
      <c r="B60" s="99" t="s">
        <v>424</v>
      </c>
      <c r="C60" s="99"/>
      <c r="D60" s="99"/>
      <c r="E60" s="99">
        <f t="shared" ref="E60:AC60" si="21">SUM(E7:E10)</f>
        <v>829864285.71428573</v>
      </c>
      <c r="F60" s="99">
        <f t="shared" si="21"/>
        <v>980181428.57142866</v>
      </c>
      <c r="G60" s="99">
        <f t="shared" si="21"/>
        <v>705774571.42857134</v>
      </c>
      <c r="H60" s="99">
        <f t="shared" si="21"/>
        <v>708657171.42857146</v>
      </c>
      <c r="I60" s="99">
        <f t="shared" si="21"/>
        <v>3224477457.1428576</v>
      </c>
      <c r="J60" s="99">
        <f t="shared" si="21"/>
        <v>724697700</v>
      </c>
      <c r="K60" s="99">
        <f t="shared" si="21"/>
        <v>652227930</v>
      </c>
      <c r="L60" s="99">
        <f t="shared" si="21"/>
        <v>776434926</v>
      </c>
      <c r="M60" s="99">
        <f t="shared" si="21"/>
        <v>865508725.79999995</v>
      </c>
      <c r="N60" s="99">
        <f t="shared" si="21"/>
        <v>3018869281.8000002</v>
      </c>
      <c r="O60" s="99">
        <f t="shared" si="21"/>
        <v>774168059.0999999</v>
      </c>
      <c r="P60" s="99">
        <f t="shared" si="21"/>
        <v>696751253.18999994</v>
      </c>
      <c r="Q60" s="99">
        <f t="shared" si="21"/>
        <v>915172055.80200005</v>
      </c>
      <c r="R60" s="99">
        <f t="shared" si="21"/>
        <v>998975700.04475999</v>
      </c>
      <c r="S60" s="99">
        <f t="shared" si="21"/>
        <v>3385067068.1367598</v>
      </c>
      <c r="T60" s="99">
        <f t="shared" si="21"/>
        <v>893698525.03162003</v>
      </c>
      <c r="U60" s="99">
        <f t="shared" si="21"/>
        <v>804328672.528458</v>
      </c>
      <c r="V60" s="99">
        <f t="shared" si="21"/>
        <v>998415199.39092135</v>
      </c>
      <c r="W60" s="99">
        <f t="shared" si="21"/>
        <v>1212795143.2570758</v>
      </c>
      <c r="X60" s="99">
        <f t="shared" si="21"/>
        <v>3909237540.208075</v>
      </c>
      <c r="Y60" s="99">
        <f t="shared" si="21"/>
        <v>1083560154.9275823</v>
      </c>
      <c r="Z60" s="99">
        <f t="shared" si="21"/>
        <v>975204139.43482423</v>
      </c>
      <c r="AA60" s="99">
        <f t="shared" si="21"/>
        <v>1096817950.447211</v>
      </c>
      <c r="AB60" s="99">
        <f t="shared" si="21"/>
        <v>1463020133.5759509</v>
      </c>
      <c r="AC60" s="99">
        <f t="shared" si="21"/>
        <v>4618602378.3855686</v>
      </c>
    </row>
    <row r="61" spans="1:30" hidden="1" outlineLevel="1">
      <c r="B61" s="99" t="str">
        <f t="shared" ref="B61:B66" si="22">B21</f>
        <v>Raw material (sugarcane)</v>
      </c>
      <c r="C61" s="99"/>
      <c r="D61" s="99"/>
      <c r="E61" s="99" cm="1">
        <f t="array" ref="E61:E66">E21:E26</f>
        <v>0</v>
      </c>
      <c r="F61" s="99" cm="1">
        <f t="array" ref="F61:F66">F21:F26</f>
        <v>0</v>
      </c>
      <c r="G61" s="99" cm="1">
        <f t="array" ref="G61:G66">G21:G26</f>
        <v>831599999.99999988</v>
      </c>
      <c r="H61" s="99" cm="1">
        <f t="array" ref="H61:H66">H21:H26</f>
        <v>1201200000</v>
      </c>
      <c r="I61" s="99" cm="1">
        <f t="array" ref="I61:I66">I21:I26</f>
        <v>2032800000</v>
      </c>
      <c r="J61" s="99" cm="1">
        <f t="array" ref="J61:J66">J21:J26</f>
        <v>0</v>
      </c>
      <c r="K61" s="99" cm="1">
        <f t="array" ref="K61:K66">K21:K26</f>
        <v>0</v>
      </c>
      <c r="L61" s="99" cm="1">
        <f t="array" ref="L61:L66">L21:L26</f>
        <v>2178000000</v>
      </c>
      <c r="M61" s="99" cm="1">
        <f t="array" ref="M61:M66">M21:M26</f>
        <v>0</v>
      </c>
      <c r="N61" s="99" cm="1">
        <f t="array" ref="N61:N66">N21:N26</f>
        <v>2178000000</v>
      </c>
      <c r="O61" s="99" cm="1">
        <f t="array" ref="O61:O66">O21:O26</f>
        <v>0</v>
      </c>
      <c r="P61" s="99" cm="1">
        <f t="array" ref="P61:P66">P21:P26</f>
        <v>0</v>
      </c>
      <c r="Q61" s="99" cm="1">
        <f t="array" ref="Q61:Q66">Q21:Q26</f>
        <v>2534400000</v>
      </c>
      <c r="R61" s="99" cm="1">
        <f t="array" ref="R61:R66">R21:R26</f>
        <v>0</v>
      </c>
      <c r="S61" s="99" cm="1">
        <f t="array" ref="S61:S66">S21:S26</f>
        <v>2534400000</v>
      </c>
      <c r="T61" s="99" cm="1">
        <f t="array" ref="T61:T66">T21:T26</f>
        <v>0</v>
      </c>
      <c r="U61" s="99" cm="1">
        <f t="array" ref="U61:U66">U21:U26</f>
        <v>0</v>
      </c>
      <c r="V61" s="99" cm="1">
        <f t="array" ref="V61:V66">V21:V26</f>
        <v>2985840000</v>
      </c>
      <c r="W61" s="99" cm="1">
        <f t="array" ref="W61:W66">W21:W26</f>
        <v>0</v>
      </c>
      <c r="X61" s="99" cm="1">
        <f t="array" ref="X61:X66">X21:X26</f>
        <v>2985840000</v>
      </c>
      <c r="Y61" s="99" cm="1">
        <f t="array" ref="Y61:Y66">Y21:Y26</f>
        <v>0</v>
      </c>
      <c r="Z61" s="99" cm="1">
        <f t="array" ref="Z61:Z66">Z21:Z26</f>
        <v>0</v>
      </c>
      <c r="AA61" s="99" cm="1">
        <f t="array" ref="AA61:AA66">AA21:AA26</f>
        <v>3511200000</v>
      </c>
      <c r="AB61" s="99" cm="1">
        <f t="array" ref="AB61:AB66">AB21:AB26</f>
        <v>0</v>
      </c>
      <c r="AC61" s="99" cm="1">
        <f t="array" ref="AC61:AC66">AC21:AC26</f>
        <v>3511200000</v>
      </c>
    </row>
    <row r="62" spans="1:30" hidden="1" outlineLevel="1">
      <c r="B62" s="99" t="str">
        <f t="shared" si="22"/>
        <v>Labour Cost</v>
      </c>
      <c r="C62" s="99"/>
      <c r="D62" s="99"/>
      <c r="E62" s="99">
        <v>0</v>
      </c>
      <c r="F62" s="99">
        <v>0</v>
      </c>
      <c r="G62" s="99">
        <v>5039999.9999999991</v>
      </c>
      <c r="H62" s="99">
        <v>6160000</v>
      </c>
      <c r="I62" s="99">
        <v>11200000</v>
      </c>
      <c r="J62" s="99">
        <v>0</v>
      </c>
      <c r="K62" s="99">
        <v>0</v>
      </c>
      <c r="L62" s="99">
        <v>5400000</v>
      </c>
      <c r="M62" s="99">
        <v>7800000</v>
      </c>
      <c r="N62" s="99">
        <v>13200000</v>
      </c>
      <c r="O62" s="99">
        <v>0</v>
      </c>
      <c r="P62" s="99">
        <v>0</v>
      </c>
      <c r="Q62" s="99">
        <v>6400000</v>
      </c>
      <c r="R62" s="99">
        <v>8960000</v>
      </c>
      <c r="S62" s="99">
        <v>15360000</v>
      </c>
      <c r="T62" s="99">
        <v>0</v>
      </c>
      <c r="U62" s="99">
        <v>0</v>
      </c>
      <c r="V62" s="99">
        <v>6960000</v>
      </c>
      <c r="W62" s="99">
        <v>11136000</v>
      </c>
      <c r="X62" s="99">
        <v>18096000</v>
      </c>
      <c r="Y62" s="99">
        <v>0</v>
      </c>
      <c r="Z62" s="99">
        <v>0</v>
      </c>
      <c r="AA62" s="99">
        <v>7600000</v>
      </c>
      <c r="AB62" s="99">
        <v>13680000</v>
      </c>
      <c r="AC62" s="99">
        <v>21280000</v>
      </c>
    </row>
    <row r="63" spans="1:30" hidden="1" outlineLevel="1">
      <c r="B63" s="99" t="str">
        <f t="shared" si="22"/>
        <v>Power Cost</v>
      </c>
      <c r="C63" s="99"/>
      <c r="D63" s="99"/>
      <c r="E63" s="99">
        <v>0</v>
      </c>
      <c r="F63" s="99">
        <v>0</v>
      </c>
      <c r="G63" s="99">
        <v>-51480000</v>
      </c>
      <c r="H63" s="99">
        <v>-62920000</v>
      </c>
      <c r="I63" s="99">
        <v>-114400000</v>
      </c>
      <c r="J63" s="99">
        <v>0</v>
      </c>
      <c r="K63" s="99">
        <v>0</v>
      </c>
      <c r="L63" s="99">
        <v>-51480000</v>
      </c>
      <c r="M63" s="99">
        <v>-74360000</v>
      </c>
      <c r="N63" s="99">
        <v>-125840000</v>
      </c>
      <c r="O63" s="99">
        <v>0</v>
      </c>
      <c r="P63" s="99">
        <v>0</v>
      </c>
      <c r="Q63" s="99">
        <v>-57200000</v>
      </c>
      <c r="R63" s="99">
        <v>-80080000</v>
      </c>
      <c r="S63" s="99">
        <v>-137280000</v>
      </c>
      <c r="T63" s="99">
        <v>0</v>
      </c>
      <c r="U63" s="99">
        <v>0</v>
      </c>
      <c r="V63" s="99">
        <v>-57200000</v>
      </c>
      <c r="W63" s="99">
        <v>-91520000</v>
      </c>
      <c r="X63" s="99">
        <v>-148720000</v>
      </c>
      <c r="Y63" s="99">
        <v>0</v>
      </c>
      <c r="Z63" s="99">
        <v>0</v>
      </c>
      <c r="AA63" s="99">
        <v>-57200000</v>
      </c>
      <c r="AB63" s="99">
        <v>-102960000</v>
      </c>
      <c r="AC63" s="99">
        <v>-160160000</v>
      </c>
    </row>
    <row r="64" spans="1:30" hidden="1" outlineLevel="1">
      <c r="B64" s="99" t="str">
        <f t="shared" si="22"/>
        <v>Salary for dedicated Staff</v>
      </c>
      <c r="C64" s="99"/>
      <c r="D64" s="99"/>
      <c r="E64" s="99">
        <v>4439070</v>
      </c>
      <c r="F64" s="99">
        <v>4550046.75</v>
      </c>
      <c r="G64" s="99">
        <v>4663797.9187499993</v>
      </c>
      <c r="H64" s="99">
        <v>4780392.8667187486</v>
      </c>
      <c r="I64" s="99">
        <v>18433307.53546875</v>
      </c>
      <c r="J64" s="99">
        <v>4899902.6883867169</v>
      </c>
      <c r="K64" s="99">
        <v>5022400.2555963844</v>
      </c>
      <c r="L64" s="99">
        <v>5147960.2619862938</v>
      </c>
      <c r="M64" s="99">
        <v>5276659.2685359502</v>
      </c>
      <c r="N64" s="99">
        <v>20346922.474505343</v>
      </c>
      <c r="O64" s="99">
        <v>5408575.7502493486</v>
      </c>
      <c r="P64" s="99">
        <v>5543790.1440055817</v>
      </c>
      <c r="Q64" s="99">
        <v>5682384.8976057209</v>
      </c>
      <c r="R64" s="99">
        <v>5824444.5200458635</v>
      </c>
      <c r="S64" s="99">
        <v>22459195.311906517</v>
      </c>
      <c r="T64" s="99">
        <v>5970055.6330470098</v>
      </c>
      <c r="U64" s="99">
        <v>6119307.0238731848</v>
      </c>
      <c r="V64" s="99">
        <v>6272289.6994700134</v>
      </c>
      <c r="W64" s="99">
        <v>6429096.9419567632</v>
      </c>
      <c r="X64" s="99">
        <v>24790749.29834697</v>
      </c>
      <c r="Y64" s="99">
        <v>6589824.3655056814</v>
      </c>
      <c r="Z64" s="99">
        <v>6754569.9746433226</v>
      </c>
      <c r="AA64" s="99">
        <v>6923434.2240094049</v>
      </c>
      <c r="AB64" s="99">
        <v>7096520.079609639</v>
      </c>
      <c r="AC64" s="99">
        <v>27364348.64376805</v>
      </c>
    </row>
    <row r="65" spans="1:29" hidden="1" outlineLevel="1">
      <c r="B65" s="99" t="str">
        <f t="shared" si="22"/>
        <v>Change in Inventory</v>
      </c>
      <c r="C65" s="99"/>
      <c r="D65" s="99"/>
      <c r="E65" s="99">
        <v>594449609.7428571</v>
      </c>
      <c r="F65" s="99">
        <v>781625000</v>
      </c>
      <c r="G65" s="99">
        <v>-271216499.5376519</v>
      </c>
      <c r="H65" s="99">
        <v>-661785141.02966428</v>
      </c>
      <c r="I65" s="99">
        <v>443072969.17554069</v>
      </c>
      <c r="J65" s="99">
        <v>581179391.71222949</v>
      </c>
      <c r="K65" s="99">
        <v>523061452.54100657</v>
      </c>
      <c r="L65" s="99">
        <v>-1679622582.7877836</v>
      </c>
      <c r="M65" s="99">
        <v>625069192.17089212</v>
      </c>
      <c r="N65" s="99">
        <v>49687453.636344552</v>
      </c>
      <c r="O65" s="99">
        <v>556335664.89405715</v>
      </c>
      <c r="P65" s="99">
        <v>500702098.40465146</v>
      </c>
      <c r="Q65" s="99">
        <v>-1951816473.2057099</v>
      </c>
      <c r="R65" s="99">
        <v>717214465.41960824</v>
      </c>
      <c r="S65" s="99">
        <v>-177564244.48739302</v>
      </c>
      <c r="T65" s="99">
        <v>645117787.13775373</v>
      </c>
      <c r="U65" s="99">
        <v>580606008.42397833</v>
      </c>
      <c r="V65" s="99">
        <v>-2372922543.7784886</v>
      </c>
      <c r="W65" s="99">
        <v>865670183.38181877</v>
      </c>
      <c r="X65" s="99">
        <v>-281528564.83493781</v>
      </c>
      <c r="Y65" s="99">
        <v>785882069.55522251</v>
      </c>
      <c r="Z65" s="99">
        <v>707293862.59970033</v>
      </c>
      <c r="AA65" s="99">
        <v>-2856366330.3696065</v>
      </c>
      <c r="AB65" s="99">
        <v>1054845838.9719787</v>
      </c>
      <c r="AC65" s="99">
        <v>-308344559.24270487</v>
      </c>
    </row>
    <row r="66" spans="1:29" hidden="1" outlineLevel="1">
      <c r="A66" s="102"/>
      <c r="B66" s="99" t="str">
        <f t="shared" si="22"/>
        <v>Other Cost</v>
      </c>
      <c r="C66" s="99"/>
      <c r="D66" s="99"/>
      <c r="E66" s="99">
        <v>0</v>
      </c>
      <c r="F66" s="99">
        <v>0</v>
      </c>
      <c r="G66" s="99">
        <v>8819999.9999999981</v>
      </c>
      <c r="H66" s="99">
        <v>10780000</v>
      </c>
      <c r="I66" s="99">
        <v>19600000</v>
      </c>
      <c r="J66" s="99">
        <v>0</v>
      </c>
      <c r="K66" s="99">
        <v>0</v>
      </c>
      <c r="L66" s="99">
        <v>9450000</v>
      </c>
      <c r="M66" s="99">
        <v>13650000</v>
      </c>
      <c r="N66" s="99">
        <v>23100000</v>
      </c>
      <c r="O66" s="99">
        <v>0</v>
      </c>
      <c r="P66" s="99">
        <v>0</v>
      </c>
      <c r="Q66" s="99">
        <v>11200000</v>
      </c>
      <c r="R66" s="99">
        <v>15680000</v>
      </c>
      <c r="S66" s="99">
        <v>26880000</v>
      </c>
      <c r="T66" s="99">
        <v>0</v>
      </c>
      <c r="U66" s="99">
        <v>0</v>
      </c>
      <c r="V66" s="99">
        <v>12180000</v>
      </c>
      <c r="W66" s="99">
        <v>19488000</v>
      </c>
      <c r="X66" s="99">
        <v>31668000</v>
      </c>
      <c r="Y66" s="99">
        <v>0</v>
      </c>
      <c r="Z66" s="99">
        <v>0</v>
      </c>
      <c r="AA66" s="99">
        <v>13300000</v>
      </c>
      <c r="AB66" s="99">
        <v>23940000</v>
      </c>
      <c r="AC66" s="99">
        <v>37240000</v>
      </c>
    </row>
    <row r="67" spans="1:29" hidden="1" outlineLevel="1">
      <c r="A67" s="102"/>
    </row>
    <row r="68" spans="1:29" hidden="1" outlineLevel="1">
      <c r="A68" s="102"/>
      <c r="B68" s="99" t="str">
        <f t="shared" ref="B68:B73" si="23">B61</f>
        <v>Raw material (sugarcane)</v>
      </c>
      <c r="C68" s="99"/>
      <c r="D68" s="99"/>
      <c r="E68" s="99">
        <f t="shared" ref="E68:H73" si="24">E61/E$60</f>
        <v>0</v>
      </c>
      <c r="F68" s="99">
        <f t="shared" si="24"/>
        <v>0</v>
      </c>
      <c r="G68" s="99">
        <f t="shared" si="24"/>
        <v>1.1782799121208674</v>
      </c>
      <c r="H68" s="99">
        <f t="shared" si="24"/>
        <v>1.6950368223587138</v>
      </c>
      <c r="I68" s="189">
        <f t="shared" ref="I68:I73" si="25">I61/I$60</f>
        <v>0.63042772883927112</v>
      </c>
      <c r="J68" s="189">
        <f t="shared" ref="J68:M73" si="26">J61/J$60</f>
        <v>0</v>
      </c>
      <c r="K68" s="189">
        <f t="shared" si="26"/>
        <v>0</v>
      </c>
      <c r="L68" s="189">
        <f t="shared" si="26"/>
        <v>2.8051288357422499</v>
      </c>
      <c r="M68" s="189">
        <f t="shared" si="26"/>
        <v>0</v>
      </c>
      <c r="N68" s="189">
        <f t="shared" ref="N68:AC68" si="27">N61/N$60</f>
        <v>0.72146217563331128</v>
      </c>
      <c r="O68" s="189">
        <f t="shared" si="27"/>
        <v>0</v>
      </c>
      <c r="P68" s="189">
        <f t="shared" si="27"/>
        <v>0</v>
      </c>
      <c r="Q68" s="189">
        <f t="shared" si="27"/>
        <v>2.7693153259350876</v>
      </c>
      <c r="R68" s="189">
        <f t="shared" si="27"/>
        <v>0</v>
      </c>
      <c r="S68" s="189">
        <f t="shared" si="27"/>
        <v>0.74870008451413284</v>
      </c>
      <c r="T68" s="189">
        <f t="shared" si="27"/>
        <v>0</v>
      </c>
      <c r="U68" s="189">
        <f t="shared" si="27"/>
        <v>0</v>
      </c>
      <c r="V68" s="189">
        <f t="shared" si="27"/>
        <v>2.9905794721689913</v>
      </c>
      <c r="W68" s="189">
        <f t="shared" si="27"/>
        <v>0</v>
      </c>
      <c r="X68" s="189">
        <f t="shared" si="27"/>
        <v>0.76379088486934821</v>
      </c>
      <c r="Y68" s="189">
        <f t="shared" si="27"/>
        <v>0</v>
      </c>
      <c r="Z68" s="189">
        <f t="shared" si="27"/>
        <v>0</v>
      </c>
      <c r="AA68" s="189">
        <f t="shared" si="27"/>
        <v>3.2012605178173468</v>
      </c>
      <c r="AB68" s="189">
        <f t="shared" si="27"/>
        <v>0</v>
      </c>
      <c r="AC68" s="189">
        <f t="shared" si="27"/>
        <v>0.76022998135365338</v>
      </c>
    </row>
    <row r="69" spans="1:29" hidden="1" outlineLevel="1">
      <c r="A69" s="102"/>
      <c r="B69" s="99" t="str">
        <f t="shared" si="23"/>
        <v>Labour Cost</v>
      </c>
      <c r="C69" s="99"/>
      <c r="D69" s="99"/>
      <c r="E69" s="99">
        <f t="shared" si="24"/>
        <v>0</v>
      </c>
      <c r="F69" s="99">
        <f t="shared" si="24"/>
        <v>0</v>
      </c>
      <c r="G69" s="99">
        <f t="shared" si="24"/>
        <v>7.1410903764901048E-3</v>
      </c>
      <c r="H69" s="99">
        <f t="shared" si="24"/>
        <v>8.692496524916481E-3</v>
      </c>
      <c r="I69" s="189">
        <f t="shared" si="25"/>
        <v>3.4734310128885465E-3</v>
      </c>
      <c r="J69" s="189">
        <f t="shared" si="26"/>
        <v>0</v>
      </c>
      <c r="K69" s="189">
        <f t="shared" si="26"/>
        <v>0</v>
      </c>
      <c r="L69" s="189">
        <f t="shared" si="26"/>
        <v>6.9548648820055787E-3</v>
      </c>
      <c r="M69" s="189">
        <f t="shared" si="26"/>
        <v>9.0120408581558405E-3</v>
      </c>
      <c r="N69" s="189">
        <f t="shared" ref="N69:AC69" si="28">N62/N$60</f>
        <v>4.3724980341412808E-3</v>
      </c>
      <c r="O69" s="189">
        <f t="shared" si="28"/>
        <v>0</v>
      </c>
      <c r="P69" s="189">
        <f t="shared" si="28"/>
        <v>0</v>
      </c>
      <c r="Q69" s="189">
        <f t="shared" si="28"/>
        <v>6.9932205200380999E-3</v>
      </c>
      <c r="R69" s="189">
        <f t="shared" si="28"/>
        <v>8.9691871379839767E-3</v>
      </c>
      <c r="S69" s="189">
        <f t="shared" si="28"/>
        <v>4.5375762697826231E-3</v>
      </c>
      <c r="T69" s="189">
        <f t="shared" si="28"/>
        <v>0</v>
      </c>
      <c r="U69" s="189">
        <f t="shared" si="28"/>
        <v>0</v>
      </c>
      <c r="V69" s="189">
        <f t="shared" si="28"/>
        <v>6.9710477206736399E-3</v>
      </c>
      <c r="W69" s="189">
        <f t="shared" si="28"/>
        <v>9.1820948178380907E-3</v>
      </c>
      <c r="X69" s="189">
        <f t="shared" si="28"/>
        <v>4.629035665874838E-3</v>
      </c>
      <c r="Y69" s="189">
        <f t="shared" si="28"/>
        <v>0</v>
      </c>
      <c r="Z69" s="189">
        <f t="shared" si="28"/>
        <v>0</v>
      </c>
      <c r="AA69" s="189">
        <f t="shared" si="28"/>
        <v>6.9291353199509671E-3</v>
      </c>
      <c r="AB69" s="189">
        <f t="shared" si="28"/>
        <v>9.3505206702542074E-3</v>
      </c>
      <c r="AC69" s="189">
        <f t="shared" si="28"/>
        <v>4.6074544324463838E-3</v>
      </c>
    </row>
    <row r="70" spans="1:29" hidden="1" outlineLevel="1">
      <c r="A70" s="102"/>
      <c r="B70" s="99" t="str">
        <f t="shared" si="23"/>
        <v>Power Cost</v>
      </c>
      <c r="C70" s="99"/>
      <c r="D70" s="99"/>
      <c r="E70" s="99">
        <f t="shared" si="24"/>
        <v>0</v>
      </c>
      <c r="F70" s="99">
        <f t="shared" si="24"/>
        <v>0</v>
      </c>
      <c r="G70" s="99">
        <f t="shared" si="24"/>
        <v>-7.2941137417006086E-2</v>
      </c>
      <c r="H70" s="99">
        <f t="shared" si="24"/>
        <v>-8.8787643075932621E-2</v>
      </c>
      <c r="I70" s="189">
        <f t="shared" si="25"/>
        <v>-3.5478616774504437E-2</v>
      </c>
      <c r="J70" s="189">
        <f t="shared" si="26"/>
        <v>0</v>
      </c>
      <c r="K70" s="189">
        <f t="shared" si="26"/>
        <v>0</v>
      </c>
      <c r="L70" s="189">
        <f t="shared" si="26"/>
        <v>-6.6303045208453176E-2</v>
      </c>
      <c r="M70" s="189">
        <f t="shared" si="26"/>
        <v>-8.5914789514419013E-2</v>
      </c>
      <c r="N70" s="189">
        <f t="shared" ref="N70:AC70" si="29">N63/N$60</f>
        <v>-4.1684481258813542E-2</v>
      </c>
      <c r="O70" s="189">
        <f t="shared" si="29"/>
        <v>0</v>
      </c>
      <c r="P70" s="189">
        <f t="shared" si="29"/>
        <v>0</v>
      </c>
      <c r="Q70" s="189">
        <f t="shared" si="29"/>
        <v>-6.2501908397840519E-2</v>
      </c>
      <c r="R70" s="189">
        <f t="shared" si="29"/>
        <v>-8.0162110045731788E-2</v>
      </c>
      <c r="S70" s="189">
        <f t="shared" si="29"/>
        <v>-4.0554587911182195E-2</v>
      </c>
      <c r="T70" s="189">
        <f t="shared" si="29"/>
        <v>0</v>
      </c>
      <c r="U70" s="189">
        <f t="shared" si="29"/>
        <v>0</v>
      </c>
      <c r="V70" s="189">
        <f t="shared" si="29"/>
        <v>-5.7290794485996006E-2</v>
      </c>
      <c r="W70" s="189">
        <f t="shared" si="29"/>
        <v>-7.5462043617864766E-2</v>
      </c>
      <c r="X70" s="189">
        <f t="shared" si="29"/>
        <v>-3.8043224150580562E-2</v>
      </c>
      <c r="Y70" s="189">
        <f t="shared" si="29"/>
        <v>0</v>
      </c>
      <c r="Z70" s="189">
        <f t="shared" si="29"/>
        <v>0</v>
      </c>
      <c r="AA70" s="189">
        <f t="shared" si="29"/>
        <v>-5.2150860565946755E-2</v>
      </c>
      <c r="AB70" s="189">
        <f t="shared" si="29"/>
        <v>-7.0374971360334299E-2</v>
      </c>
      <c r="AC70" s="189">
        <f t="shared" si="29"/>
        <v>-3.4677157044201733E-2</v>
      </c>
    </row>
    <row r="71" spans="1:29" hidden="1" outlineLevel="1">
      <c r="A71" s="102"/>
      <c r="B71" s="99" t="str">
        <f t="shared" si="23"/>
        <v>Salary for dedicated Staff</v>
      </c>
      <c r="C71" s="99"/>
      <c r="D71" s="99"/>
      <c r="E71" s="99">
        <f t="shared" si="24"/>
        <v>5.3491517545898211E-3</v>
      </c>
      <c r="F71" s="99">
        <f t="shared" si="24"/>
        <v>4.6420454595140544E-3</v>
      </c>
      <c r="G71" s="99">
        <f t="shared" si="24"/>
        <v>6.6080560387857552E-3</v>
      </c>
      <c r="H71" s="99">
        <f t="shared" si="24"/>
        <v>6.7457059061182233E-3</v>
      </c>
      <c r="I71" s="189">
        <f t="shared" si="25"/>
        <v>5.7166805414115441E-3</v>
      </c>
      <c r="J71" s="189">
        <f t="shared" si="26"/>
        <v>6.7613056980679207E-3</v>
      </c>
      <c r="K71" s="189">
        <f t="shared" si="26"/>
        <v>7.7003759339106873E-3</v>
      </c>
      <c r="L71" s="189">
        <f t="shared" si="26"/>
        <v>6.6302533407497618E-3</v>
      </c>
      <c r="M71" s="189">
        <f t="shared" si="26"/>
        <v>6.0965985798221408E-3</v>
      </c>
      <c r="N71" s="189">
        <f t="shared" ref="N71:AC71" si="30">N64/N$60</f>
        <v>6.7399150394393675E-3</v>
      </c>
      <c r="O71" s="189">
        <f t="shared" si="30"/>
        <v>6.9863070255533734E-3</v>
      </c>
      <c r="P71" s="189">
        <f t="shared" si="30"/>
        <v>7.9566274457691186E-3</v>
      </c>
      <c r="Q71" s="189">
        <f t="shared" si="30"/>
        <v>6.2090891669829571E-3</v>
      </c>
      <c r="R71" s="189">
        <f t="shared" si="30"/>
        <v>5.8304166155241756E-3</v>
      </c>
      <c r="S71" s="189">
        <f t="shared" si="30"/>
        <v>6.634785917039073E-3</v>
      </c>
      <c r="T71" s="189">
        <f t="shared" si="30"/>
        <v>6.6801672665128126E-3</v>
      </c>
      <c r="U71" s="189">
        <f t="shared" si="30"/>
        <v>7.6079682757507032E-3</v>
      </c>
      <c r="V71" s="189">
        <f t="shared" si="30"/>
        <v>6.2822458064504582E-3</v>
      </c>
      <c r="W71" s="189">
        <f t="shared" si="30"/>
        <v>5.3010576251903653E-3</v>
      </c>
      <c r="X71" s="189">
        <f t="shared" si="30"/>
        <v>6.341581713406816E-3</v>
      </c>
      <c r="Y71" s="189">
        <f t="shared" si="30"/>
        <v>6.0816414626708934E-3</v>
      </c>
      <c r="Z71" s="189">
        <f t="shared" si="30"/>
        <v>6.9263138880418492E-3</v>
      </c>
      <c r="AA71" s="189">
        <f t="shared" si="30"/>
        <v>6.3122911338080109E-3</v>
      </c>
      <c r="AB71" s="189">
        <f t="shared" si="30"/>
        <v>4.8505963224608163E-3</v>
      </c>
      <c r="AC71" s="189">
        <f t="shared" si="30"/>
        <v>5.9248115342921664E-3</v>
      </c>
    </row>
    <row r="72" spans="1:29" hidden="1" outlineLevel="1">
      <c r="A72" s="102"/>
      <c r="B72" s="99" t="str">
        <f t="shared" si="23"/>
        <v>Change in Inventory</v>
      </c>
      <c r="C72" s="99"/>
      <c r="D72" s="99"/>
      <c r="E72" s="99">
        <f t="shared" si="24"/>
        <v>0.71632147566297411</v>
      </c>
      <c r="F72" s="99">
        <f t="shared" si="24"/>
        <v>0.79742890164648816</v>
      </c>
      <c r="G72" s="99">
        <f t="shared" si="24"/>
        <v>-0.38428205055429748</v>
      </c>
      <c r="H72" s="99">
        <f t="shared" si="24"/>
        <v>-0.93385796081846095</v>
      </c>
      <c r="I72" s="189">
        <f t="shared" si="25"/>
        <v>0.13740923143811912</v>
      </c>
      <c r="J72" s="189">
        <f t="shared" si="26"/>
        <v>0.80196113732971619</v>
      </c>
      <c r="K72" s="189">
        <f t="shared" si="26"/>
        <v>0.8019611373297163</v>
      </c>
      <c r="L72" s="189">
        <f t="shared" si="26"/>
        <v>-2.1632496511211601</v>
      </c>
      <c r="M72" s="189">
        <f t="shared" si="26"/>
        <v>0.72219860243827494</v>
      </c>
      <c r="N72" s="189">
        <f t="shared" ref="N72:AC72" si="31">N65/N$60</f>
        <v>1.6458961617151709E-2</v>
      </c>
      <c r="O72" s="189">
        <f t="shared" si="31"/>
        <v>0.71862389355202627</v>
      </c>
      <c r="P72" s="189">
        <f t="shared" si="31"/>
        <v>0.71862389355202638</v>
      </c>
      <c r="Q72" s="189">
        <f t="shared" si="31"/>
        <v>-2.1327317205891507</v>
      </c>
      <c r="R72" s="189">
        <f t="shared" si="31"/>
        <v>0.71794986143053607</v>
      </c>
      <c r="S72" s="189">
        <f t="shared" si="31"/>
        <v>-5.2455162900252254E-2</v>
      </c>
      <c r="T72" s="189">
        <f t="shared" si="31"/>
        <v>0.72185168607604977</v>
      </c>
      <c r="U72" s="189">
        <f t="shared" si="31"/>
        <v>0.72185168607604977</v>
      </c>
      <c r="V72" s="189">
        <f t="shared" si="31"/>
        <v>-2.3766891221468573</v>
      </c>
      <c r="W72" s="189">
        <f t="shared" si="31"/>
        <v>0.71378104389252406</v>
      </c>
      <c r="X72" s="189">
        <f t="shared" si="31"/>
        <v>-7.2016233840820287E-2</v>
      </c>
      <c r="Y72" s="189">
        <f t="shared" si="31"/>
        <v>0.72527774852310389</v>
      </c>
      <c r="Z72" s="189">
        <f t="shared" si="31"/>
        <v>0.72527774852310378</v>
      </c>
      <c r="AA72" s="189">
        <f t="shared" si="31"/>
        <v>-2.6042301087477333</v>
      </c>
      <c r="AB72" s="189">
        <f t="shared" si="31"/>
        <v>0.72100568868707071</v>
      </c>
      <c r="AC72" s="189">
        <f t="shared" si="31"/>
        <v>-6.6761442960692072E-2</v>
      </c>
    </row>
    <row r="73" spans="1:29" hidden="1" outlineLevel="1">
      <c r="A73" s="102"/>
      <c r="B73" s="99" t="str">
        <f t="shared" si="23"/>
        <v>Other Cost</v>
      </c>
      <c r="C73" s="99"/>
      <c r="D73" s="99"/>
      <c r="E73" s="99">
        <f t="shared" si="24"/>
        <v>0</v>
      </c>
      <c r="F73" s="99">
        <f t="shared" si="24"/>
        <v>0</v>
      </c>
      <c r="G73" s="99">
        <f t="shared" si="24"/>
        <v>1.2496908158857683E-2</v>
      </c>
      <c r="H73" s="99">
        <f t="shared" si="24"/>
        <v>1.521186891860384E-2</v>
      </c>
      <c r="I73" s="189">
        <f t="shared" si="25"/>
        <v>6.0785042725549562E-3</v>
      </c>
      <c r="J73" s="189">
        <f t="shared" si="26"/>
        <v>0</v>
      </c>
      <c r="K73" s="189">
        <f t="shared" si="26"/>
        <v>0</v>
      </c>
      <c r="L73" s="189">
        <f t="shared" si="26"/>
        <v>1.2171013543509763E-2</v>
      </c>
      <c r="M73" s="189">
        <f t="shared" si="26"/>
        <v>1.5771071501772722E-2</v>
      </c>
      <c r="N73" s="189">
        <f t="shared" ref="N73:AC73" si="32">N66/N$60</f>
        <v>7.6518715597472409E-3</v>
      </c>
      <c r="O73" s="189">
        <f t="shared" si="32"/>
        <v>0</v>
      </c>
      <c r="P73" s="189">
        <f t="shared" si="32"/>
        <v>0</v>
      </c>
      <c r="Q73" s="189">
        <f t="shared" si="32"/>
        <v>1.2238135910066675E-2</v>
      </c>
      <c r="R73" s="189">
        <f t="shared" si="32"/>
        <v>1.569607749147196E-2</v>
      </c>
      <c r="S73" s="189">
        <f t="shared" si="32"/>
        <v>7.9407584721195908E-3</v>
      </c>
      <c r="T73" s="189">
        <f t="shared" si="32"/>
        <v>0</v>
      </c>
      <c r="U73" s="189">
        <f t="shared" si="32"/>
        <v>0</v>
      </c>
      <c r="V73" s="189">
        <f t="shared" si="32"/>
        <v>1.219933351117887E-2</v>
      </c>
      <c r="W73" s="189">
        <f t="shared" si="32"/>
        <v>1.6068665931216659E-2</v>
      </c>
      <c r="X73" s="189">
        <f t="shared" si="32"/>
        <v>8.1008124152809665E-3</v>
      </c>
      <c r="Y73" s="189">
        <f t="shared" si="32"/>
        <v>0</v>
      </c>
      <c r="Z73" s="189">
        <f t="shared" si="32"/>
        <v>0</v>
      </c>
      <c r="AA73" s="189">
        <f t="shared" si="32"/>
        <v>1.2125986809914193E-2</v>
      </c>
      <c r="AB73" s="189">
        <f t="shared" si="32"/>
        <v>1.6363411172944861E-2</v>
      </c>
      <c r="AC73" s="189">
        <f t="shared" si="32"/>
        <v>8.0630452567811723E-3</v>
      </c>
    </row>
    <row r="74" spans="1:29" s="47" customFormat="1" hidden="1" outlineLevel="1">
      <c r="A74" s="47" t="s">
        <v>367</v>
      </c>
      <c r="B74" s="47" t="s">
        <v>572</v>
      </c>
      <c r="E74" s="127">
        <f t="shared" ref="E74:AC74" si="33">1-SUM(E68:E73)</f>
        <v>0.27832937258243606</v>
      </c>
      <c r="F74" s="127">
        <f t="shared" si="33"/>
        <v>0.19792905289399776</v>
      </c>
      <c r="G74" s="127">
        <f t="shared" si="33"/>
        <v>0.25269722127630256</v>
      </c>
      <c r="H74" s="127">
        <f t="shared" si="33"/>
        <v>0.29695871018604136</v>
      </c>
      <c r="I74" s="127">
        <f t="shared" si="33"/>
        <v>0.25237304067025923</v>
      </c>
      <c r="J74" s="127">
        <f t="shared" si="33"/>
        <v>0.19127755697221593</v>
      </c>
      <c r="K74" s="127">
        <f t="shared" si="33"/>
        <v>0.19033848673637299</v>
      </c>
      <c r="L74" s="127">
        <f t="shared" si="33"/>
        <v>0.39866772882109824</v>
      </c>
      <c r="M74" s="127">
        <f t="shared" si="33"/>
        <v>0.33283647613639333</v>
      </c>
      <c r="N74" s="127">
        <f t="shared" si="33"/>
        <v>0.28499905937502268</v>
      </c>
      <c r="O74" s="127">
        <f t="shared" si="33"/>
        <v>0.27438979942242037</v>
      </c>
      <c r="P74" s="127">
        <f t="shared" si="33"/>
        <v>0.27341947900220454</v>
      </c>
      <c r="Q74" s="127">
        <f t="shared" si="33"/>
        <v>0.40047785745481601</v>
      </c>
      <c r="R74" s="127">
        <f t="shared" si="33"/>
        <v>0.3317165673702156</v>
      </c>
      <c r="S74" s="127">
        <f t="shared" si="33"/>
        <v>0.32519654563836031</v>
      </c>
      <c r="T74" s="127">
        <f t="shared" si="33"/>
        <v>0.27146814665743746</v>
      </c>
      <c r="U74" s="127">
        <f t="shared" si="33"/>
        <v>0.27054034564819951</v>
      </c>
      <c r="V74" s="127">
        <f t="shared" si="33"/>
        <v>0.4179478174255592</v>
      </c>
      <c r="W74" s="127">
        <f t="shared" si="33"/>
        <v>0.33112918135109559</v>
      </c>
      <c r="X74" s="127">
        <f t="shared" si="33"/>
        <v>0.32719714332749017</v>
      </c>
      <c r="Y74" s="127">
        <f t="shared" si="33"/>
        <v>0.26864061001422523</v>
      </c>
      <c r="Z74" s="127">
        <f t="shared" si="33"/>
        <v>0.26779593758885434</v>
      </c>
      <c r="AA74" s="127">
        <f t="shared" si="33"/>
        <v>0.4297530382326602</v>
      </c>
      <c r="AB74" s="127">
        <f t="shared" si="33"/>
        <v>0.3188047545076037</v>
      </c>
      <c r="AC74" s="127">
        <f t="shared" si="33"/>
        <v>0.32261330742772076</v>
      </c>
    </row>
    <row r="75" spans="1:29" collapsed="1"/>
    <row r="76" spans="1:29" hidden="1" outlineLevel="1">
      <c r="A76" s="47" t="s">
        <v>367</v>
      </c>
      <c r="B76" s="47" t="s">
        <v>343</v>
      </c>
    </row>
    <row r="77" spans="1:29" hidden="1" outlineLevel="1">
      <c r="B77" s="99" t="s">
        <v>424</v>
      </c>
      <c r="C77" s="99"/>
      <c r="D77" s="99"/>
      <c r="E77" s="99">
        <f t="shared" ref="E77:AC77" si="34">SUM(E12:E13)</f>
        <v>0</v>
      </c>
      <c r="F77" s="99">
        <f t="shared" si="34"/>
        <v>0</v>
      </c>
      <c r="G77" s="99">
        <f t="shared" si="34"/>
        <v>2402834799.8991776</v>
      </c>
      <c r="H77" s="99">
        <f t="shared" si="34"/>
        <v>2478456587.830492</v>
      </c>
      <c r="I77" s="99">
        <f t="shared" si="34"/>
        <v>4881291387.7296696</v>
      </c>
      <c r="J77" s="99">
        <f t="shared" si="34"/>
        <v>2483021530.6626191</v>
      </c>
      <c r="K77" s="99">
        <f t="shared" si="34"/>
        <v>2485011663.5165858</v>
      </c>
      <c r="L77" s="99">
        <f t="shared" si="34"/>
        <v>2554815499.462081</v>
      </c>
      <c r="M77" s="99">
        <f t="shared" si="34"/>
        <v>2558858471.600565</v>
      </c>
      <c r="N77" s="99">
        <f t="shared" si="34"/>
        <v>10081707165.241852</v>
      </c>
      <c r="O77" s="99">
        <f t="shared" si="34"/>
        <v>2560909281.4682479</v>
      </c>
      <c r="P77" s="99">
        <f t="shared" si="34"/>
        <v>2562897168.0350313</v>
      </c>
      <c r="Q77" s="99">
        <f t="shared" si="34"/>
        <v>2633007555.9663906</v>
      </c>
      <c r="R77" s="99">
        <f t="shared" si="34"/>
        <v>2637144939.9204001</v>
      </c>
      <c r="S77" s="99">
        <f t="shared" si="34"/>
        <v>10393958945.390072</v>
      </c>
      <c r="T77" s="99">
        <f t="shared" si="34"/>
        <v>2639290755.0490637</v>
      </c>
      <c r="U77" s="99">
        <f t="shared" si="34"/>
        <v>2641374126.3171835</v>
      </c>
      <c r="V77" s="99">
        <f t="shared" si="34"/>
        <v>2711801860.4709892</v>
      </c>
      <c r="W77" s="99">
        <f t="shared" si="34"/>
        <v>2716036793.4473014</v>
      </c>
      <c r="X77" s="99">
        <f t="shared" si="34"/>
        <v>10708503535.284538</v>
      </c>
      <c r="Y77" s="99">
        <f t="shared" si="34"/>
        <v>2718280645.3435917</v>
      </c>
      <c r="Z77" s="99">
        <f t="shared" si="34"/>
        <v>2720462543.5631838</v>
      </c>
      <c r="AA77" s="99">
        <f t="shared" si="34"/>
        <v>2791215142.2374754</v>
      </c>
      <c r="AB77" s="99">
        <f t="shared" si="34"/>
        <v>2795550719.1226201</v>
      </c>
      <c r="AC77" s="99">
        <f t="shared" si="34"/>
        <v>11025509050.26687</v>
      </c>
    </row>
    <row r="78" spans="1:29" hidden="1" outlineLevel="1">
      <c r="B78" s="99" t="str">
        <f t="shared" ref="B78:B83" si="35">B29</f>
        <v>Cost of Corn Purchase</v>
      </c>
      <c r="C78" s="99"/>
      <c r="D78" s="99"/>
      <c r="E78" s="99" cm="1">
        <f t="array" ref="E78:E83">E29:E34</f>
        <v>0</v>
      </c>
      <c r="F78" s="99" cm="1">
        <f t="array" ref="F78:F83">F29:F34</f>
        <v>0</v>
      </c>
      <c r="G78" s="99" cm="1">
        <f t="array" ref="G78:G83">G29:G34</f>
        <v>1919204542.9014359</v>
      </c>
      <c r="H78" s="99" cm="1">
        <f t="array" ref="H78:H83">H29:H34</f>
        <v>1873509196.6418779</v>
      </c>
      <c r="I78" s="99" cm="1">
        <f t="array" ref="I78:I83">I29:I34</f>
        <v>3792713739.543314</v>
      </c>
      <c r="J78" s="99" cm="1">
        <f t="array" ref="J78:J83">J29:J34</f>
        <v>1873509196.6418779</v>
      </c>
      <c r="K78" s="99" cm="1">
        <f t="array" ref="K78:K83">K29:K34</f>
        <v>1873509196.6418779</v>
      </c>
      <c r="L78" s="99" cm="1">
        <f t="array" ref="L78:L83">L29:L34</f>
        <v>7141345945.0148659</v>
      </c>
      <c r="M78" s="99" cm="1">
        <f t="array" ref="M78:M83">M29:M34</f>
        <v>0</v>
      </c>
      <c r="N78" s="99" cm="1">
        <f t="array" ref="N78:N83">N29:N34</f>
        <v>10888364338.298622</v>
      </c>
      <c r="O78" s="99" cm="1">
        <f t="array" ref="O78:O83">O29:O34</f>
        <v>0</v>
      </c>
      <c r="P78" s="99" cm="1">
        <f t="array" ref="P78:P83">P29:P34</f>
        <v>0</v>
      </c>
      <c r="Q78" s="99" cm="1">
        <f t="array" ref="Q78:Q83">Q29:Q34</f>
        <v>7336999258.5769176</v>
      </c>
      <c r="R78" s="99" cm="1">
        <f t="array" ref="R78:R83">R29:R34</f>
        <v>0</v>
      </c>
      <c r="S78" s="99" cm="1">
        <f t="array" ref="S78:S83">S29:S34</f>
        <v>7336999258.5769176</v>
      </c>
      <c r="T78" s="99" cm="1">
        <f t="array" ref="T78:T83">T29:T34</f>
        <v>0</v>
      </c>
      <c r="U78" s="99" cm="1">
        <f t="array" ref="U78:U83">U29:U34</f>
        <v>0</v>
      </c>
      <c r="V78" s="99" cm="1">
        <f t="array" ref="V78:V83">V29:V34</f>
        <v>7532652572.1389675</v>
      </c>
      <c r="W78" s="99" cm="1">
        <f t="array" ref="W78:W83">W29:W34</f>
        <v>0</v>
      </c>
      <c r="X78" s="99" cm="1">
        <f t="array" ref="X78:X83">X29:X34</f>
        <v>7532652572.1389675</v>
      </c>
      <c r="Y78" s="99" cm="1">
        <f t="array" ref="Y78:Y83">Y29:Y34</f>
        <v>0</v>
      </c>
      <c r="Z78" s="99" cm="1">
        <f t="array" ref="Z78:Z83">Z29:Z34</f>
        <v>0</v>
      </c>
      <c r="AA78" s="99" cm="1">
        <f t="array" ref="AA78:AA83">AA29:AA34</f>
        <v>7728305885.7010193</v>
      </c>
      <c r="AB78" s="99" cm="1">
        <f t="array" ref="AB78:AB83">AB29:AB34</f>
        <v>0</v>
      </c>
      <c r="AC78" s="99" cm="1">
        <f t="array" ref="AC78:AC83">AC29:AC34</f>
        <v>7728305885.7010193</v>
      </c>
    </row>
    <row r="79" spans="1:29" hidden="1" outlineLevel="1">
      <c r="B79" s="99" t="str">
        <f t="shared" si="35"/>
        <v>Labour Cost</v>
      </c>
      <c r="C79" s="99"/>
      <c r="D79" s="99"/>
      <c r="E79" s="99">
        <v>0</v>
      </c>
      <c r="F79" s="99">
        <v>0</v>
      </c>
      <c r="G79" s="99">
        <v>4569534.6259557996</v>
      </c>
      <c r="H79" s="99">
        <v>4569534.6259557996</v>
      </c>
      <c r="I79" s="99">
        <v>9139069.2519115992</v>
      </c>
      <c r="J79" s="99">
        <v>4569534.6259557996</v>
      </c>
      <c r="K79" s="99">
        <v>4569534.6259557996</v>
      </c>
      <c r="L79" s="99">
        <v>4698253.9111939911</v>
      </c>
      <c r="M79" s="99">
        <v>4698253.9111939911</v>
      </c>
      <c r="N79" s="99">
        <v>18535577.074299581</v>
      </c>
      <c r="O79" s="99">
        <v>4698253.9111939911</v>
      </c>
      <c r="P79" s="99">
        <v>4698253.9111939911</v>
      </c>
      <c r="Q79" s="99">
        <v>4826973.1964321826</v>
      </c>
      <c r="R79" s="99">
        <v>4826973.1964321826</v>
      </c>
      <c r="S79" s="99">
        <v>19050454.215252347</v>
      </c>
      <c r="T79" s="99">
        <v>4826973.1964321826</v>
      </c>
      <c r="U79" s="99">
        <v>4826973.1964321826</v>
      </c>
      <c r="V79" s="99">
        <v>4955692.4816703741</v>
      </c>
      <c r="W79" s="99">
        <v>4955692.4816703741</v>
      </c>
      <c r="X79" s="99">
        <v>19565331.356205113</v>
      </c>
      <c r="Y79" s="99">
        <v>4955692.4816703741</v>
      </c>
      <c r="Z79" s="99">
        <v>4955692.4816703741</v>
      </c>
      <c r="AA79" s="99">
        <v>5084411.7669085655</v>
      </c>
      <c r="AB79" s="99">
        <v>5084411.7669085655</v>
      </c>
      <c r="AC79" s="99">
        <v>20080208.497157879</v>
      </c>
    </row>
    <row r="80" spans="1:29" hidden="1" outlineLevel="1">
      <c r="B80" s="99" t="str">
        <f t="shared" si="35"/>
        <v>Power Cost</v>
      </c>
      <c r="C80" s="99"/>
      <c r="D80" s="99"/>
      <c r="E80" s="99">
        <v>0</v>
      </c>
      <c r="F80" s="99">
        <v>0</v>
      </c>
      <c r="G80" s="99">
        <v>-28737500</v>
      </c>
      <c r="H80" s="99">
        <v>-28737500</v>
      </c>
      <c r="I80" s="99">
        <v>-57475000</v>
      </c>
      <c r="J80" s="99">
        <v>-28737500</v>
      </c>
      <c r="K80" s="99">
        <v>-28737500</v>
      </c>
      <c r="L80" s="99">
        <v>-28737500</v>
      </c>
      <c r="M80" s="99">
        <v>-28737500</v>
      </c>
      <c r="N80" s="99">
        <v>-114950000</v>
      </c>
      <c r="O80" s="99">
        <v>-28737500</v>
      </c>
      <c r="P80" s="99">
        <v>731600.71428566054</v>
      </c>
      <c r="Q80" s="99">
        <v>-28737500</v>
      </c>
      <c r="R80" s="99">
        <v>-28737500</v>
      </c>
      <c r="S80" s="99">
        <v>-85480899.285714343</v>
      </c>
      <c r="T80" s="99">
        <v>-28737500</v>
      </c>
      <c r="U80" s="99">
        <v>22382499.999999978</v>
      </c>
      <c r="V80" s="99">
        <v>-28737500</v>
      </c>
      <c r="W80" s="99">
        <v>-28737500</v>
      </c>
      <c r="X80" s="99">
        <v>-63830000.000000022</v>
      </c>
      <c r="Y80" s="99">
        <v>-28737500</v>
      </c>
      <c r="Z80" s="99">
        <v>-28737500</v>
      </c>
      <c r="AA80" s="99">
        <v>-28737500</v>
      </c>
      <c r="AB80" s="99">
        <v>-28737500</v>
      </c>
      <c r="AC80" s="99">
        <v>-114950000</v>
      </c>
    </row>
    <row r="81" spans="2:29" hidden="1" outlineLevel="1">
      <c r="B81" s="99" t="str">
        <f t="shared" si="35"/>
        <v>Salary for dedicated Staff</v>
      </c>
      <c r="C81" s="99"/>
      <c r="D81" s="99"/>
      <c r="E81" s="99">
        <v>3465524.9999999995</v>
      </c>
      <c r="F81" s="99">
        <v>3552163.1249999995</v>
      </c>
      <c r="G81" s="99">
        <v>4610168.7656249991</v>
      </c>
      <c r="H81" s="99">
        <v>5139352.8187499987</v>
      </c>
      <c r="I81" s="99">
        <v>16767209.709374998</v>
      </c>
      <c r="J81" s="99">
        <v>5267836.6392187485</v>
      </c>
      <c r="K81" s="99">
        <v>5399532.5551992171</v>
      </c>
      <c r="L81" s="99">
        <v>5534520.8690791959</v>
      </c>
      <c r="M81" s="99">
        <v>5672883.8908061758</v>
      </c>
      <c r="N81" s="99">
        <v>21874773.954303335</v>
      </c>
      <c r="O81" s="99">
        <v>5814705.9880763292</v>
      </c>
      <c r="P81" s="99">
        <v>5960073.6377782365</v>
      </c>
      <c r="Q81" s="99">
        <v>6109075.4787226925</v>
      </c>
      <c r="R81" s="99">
        <v>6261802.3656907594</v>
      </c>
      <c r="S81" s="99">
        <v>24145657.470268019</v>
      </c>
      <c r="T81" s="99">
        <v>6418347.4248330276</v>
      </c>
      <c r="U81" s="99">
        <v>6578806.1104538534</v>
      </c>
      <c r="V81" s="99">
        <v>6743276.2632151982</v>
      </c>
      <c r="W81" s="99">
        <v>6911858.1697955774</v>
      </c>
      <c r="X81" s="99">
        <v>26652287.968297657</v>
      </c>
      <c r="Y81" s="99">
        <v>7084654.6240404667</v>
      </c>
      <c r="Z81" s="99">
        <v>7261770.9896414774</v>
      </c>
      <c r="AA81" s="99">
        <v>7443315.2643825132</v>
      </c>
      <c r="AB81" s="99">
        <v>7629398.1459920751</v>
      </c>
      <c r="AC81" s="99">
        <v>29419139.024056531</v>
      </c>
    </row>
    <row r="82" spans="2:29" hidden="1" outlineLevel="1">
      <c r="B82" s="99" t="str">
        <f t="shared" si="35"/>
        <v>Change in Inventory</v>
      </c>
      <c r="C82" s="99"/>
      <c r="D82" s="99"/>
      <c r="E82" s="99">
        <v>0</v>
      </c>
      <c r="F82" s="99">
        <v>0</v>
      </c>
      <c r="G82" s="99">
        <v>-70514454.881901816</v>
      </c>
      <c r="H82" s="99">
        <v>-2564161.9957054853</v>
      </c>
      <c r="I82" s="99">
        <v>-73078616.877607301</v>
      </c>
      <c r="J82" s="99">
        <v>5129467.2493865788</v>
      </c>
      <c r="K82" s="99">
        <v>-3148.6182457953691</v>
      </c>
      <c r="L82" s="99">
        <v>-5075958885.6291742</v>
      </c>
      <c r="M82" s="99">
        <v>1691304329.4283938</v>
      </c>
      <c r="N82" s="99">
        <v>-3379528237.5696397</v>
      </c>
      <c r="O82" s="99">
        <v>1691074810.0926073</v>
      </c>
      <c r="P82" s="99">
        <v>1691371318.9574108</v>
      </c>
      <c r="Q82" s="99">
        <v>-5214983368.5235863</v>
      </c>
      <c r="R82" s="99">
        <v>1737642993.7564282</v>
      </c>
      <c r="S82" s="99">
        <v>-94894245.717139721</v>
      </c>
      <c r="T82" s="99">
        <v>1737492180.9866807</v>
      </c>
      <c r="U82" s="99">
        <v>1737710261.3819835</v>
      </c>
      <c r="V82" s="99">
        <v>-5472942359.5177221</v>
      </c>
      <c r="W82" s="99">
        <v>1823627274.7182021</v>
      </c>
      <c r="X82" s="99">
        <v>-174112642.43085575</v>
      </c>
      <c r="Y82" s="99">
        <v>1824157553.3561068</v>
      </c>
      <c r="Z82" s="99">
        <v>1823694744.4809477</v>
      </c>
      <c r="AA82" s="99">
        <v>-5615036807.23627</v>
      </c>
      <c r="AB82" s="99">
        <v>1870996395.0743804</v>
      </c>
      <c r="AC82" s="99">
        <v>-96188114.3248353</v>
      </c>
    </row>
    <row r="83" spans="2:29" hidden="1" outlineLevel="1">
      <c r="B83" s="99" t="str">
        <f t="shared" si="35"/>
        <v>Other Cost</v>
      </c>
      <c r="C83" s="99"/>
      <c r="D83" s="99"/>
      <c r="E83" s="99">
        <v>0</v>
      </c>
      <c r="F83" s="99">
        <v>0</v>
      </c>
      <c r="G83" s="99">
        <v>58575000</v>
      </c>
      <c r="H83" s="99">
        <v>58575000</v>
      </c>
      <c r="I83" s="99">
        <v>117150000</v>
      </c>
      <c r="J83" s="99">
        <v>58575000</v>
      </c>
      <c r="K83" s="99">
        <v>58575000</v>
      </c>
      <c r="L83" s="99">
        <v>60225000</v>
      </c>
      <c r="M83" s="99">
        <v>60225000</v>
      </c>
      <c r="N83" s="99">
        <v>237600000</v>
      </c>
      <c r="O83" s="99">
        <v>60225000</v>
      </c>
      <c r="P83" s="99">
        <v>60225000</v>
      </c>
      <c r="Q83" s="99">
        <v>61875000</v>
      </c>
      <c r="R83" s="99">
        <v>61875000</v>
      </c>
      <c r="S83" s="99">
        <v>244200000</v>
      </c>
      <c r="T83" s="99">
        <v>61875000</v>
      </c>
      <c r="U83" s="99">
        <v>61875000</v>
      </c>
      <c r="V83" s="99">
        <v>63525000</v>
      </c>
      <c r="W83" s="99">
        <v>63525000</v>
      </c>
      <c r="X83" s="99">
        <v>250800000</v>
      </c>
      <c r="Y83" s="99">
        <v>63525000</v>
      </c>
      <c r="Z83" s="99">
        <v>63525000</v>
      </c>
      <c r="AA83" s="99">
        <v>65175000</v>
      </c>
      <c r="AB83" s="99">
        <v>65175000</v>
      </c>
      <c r="AC83" s="99">
        <v>257400000</v>
      </c>
    </row>
    <row r="84" spans="2:29" hidden="1" outlineLevel="1"/>
    <row r="85" spans="2:29" hidden="1" outlineLevel="1"/>
    <row r="86" spans="2:29" hidden="1" outlineLevel="1">
      <c r="B86" s="99" t="str">
        <f t="shared" ref="B86:B91" si="36">B78</f>
        <v>Cost of Corn Purchase</v>
      </c>
      <c r="C86" s="99"/>
      <c r="D86" s="99"/>
      <c r="E86" s="99"/>
      <c r="F86" s="99"/>
      <c r="G86" s="189">
        <f t="shared" ref="G86:AC86" si="37">G78/G$77</f>
        <v>0.7987251320739841</v>
      </c>
      <c r="H86" s="99">
        <f t="shared" si="37"/>
        <v>0.75591769726410551</v>
      </c>
      <c r="I86" s="189">
        <f t="shared" si="37"/>
        <v>0.77698982467574784</v>
      </c>
      <c r="J86" s="189">
        <f t="shared" si="37"/>
        <v>0.75452797066238619</v>
      </c>
      <c r="K86" s="189">
        <f t="shared" si="37"/>
        <v>0.75392370351720628</v>
      </c>
      <c r="L86" s="189">
        <f t="shared" si="37"/>
        <v>2.7952491859073518</v>
      </c>
      <c r="M86" s="189">
        <f t="shared" si="37"/>
        <v>0</v>
      </c>
      <c r="N86" s="189">
        <f t="shared" si="37"/>
        <v>1.0800119622436404</v>
      </c>
      <c r="O86" s="189">
        <f t="shared" si="37"/>
        <v>0</v>
      </c>
      <c r="P86" s="189">
        <f t="shared" si="37"/>
        <v>0</v>
      </c>
      <c r="Q86" s="189">
        <f t="shared" si="37"/>
        <v>2.7865469819679363</v>
      </c>
      <c r="R86" s="189">
        <f t="shared" si="37"/>
        <v>0</v>
      </c>
      <c r="S86" s="189">
        <f t="shared" si="37"/>
        <v>0.70589072913656481</v>
      </c>
      <c r="T86" s="189">
        <f t="shared" si="37"/>
        <v>0</v>
      </c>
      <c r="U86" s="189">
        <f t="shared" si="37"/>
        <v>0</v>
      </c>
      <c r="V86" s="189">
        <f t="shared" si="37"/>
        <v>2.7777297013988651</v>
      </c>
      <c r="W86" s="189">
        <f t="shared" si="37"/>
        <v>0</v>
      </c>
      <c r="X86" s="189">
        <f t="shared" si="37"/>
        <v>0.70342719198054737</v>
      </c>
      <c r="Y86" s="189">
        <f t="shared" si="37"/>
        <v>0</v>
      </c>
      <c r="Z86" s="189">
        <f t="shared" si="37"/>
        <v>0</v>
      </c>
      <c r="AA86" s="189">
        <f t="shared" si="37"/>
        <v>2.7687962023256674</v>
      </c>
      <c r="AB86" s="189">
        <f t="shared" si="37"/>
        <v>0</v>
      </c>
      <c r="AC86" s="189">
        <f t="shared" si="37"/>
        <v>0.70094776127492786</v>
      </c>
    </row>
    <row r="87" spans="2:29" hidden="1" outlineLevel="1">
      <c r="B87" s="99" t="str">
        <f t="shared" si="36"/>
        <v>Labour Cost</v>
      </c>
      <c r="C87" s="99"/>
      <c r="D87" s="99"/>
      <c r="E87" s="99"/>
      <c r="F87" s="99"/>
      <c r="G87" s="189">
        <f t="shared" ref="G87:AC87" si="38">G79/G$77</f>
        <v>1.9017265049380574E-3</v>
      </c>
      <c r="H87" s="99">
        <f t="shared" si="38"/>
        <v>1.8437017006441598E-3</v>
      </c>
      <c r="I87" s="189">
        <f t="shared" si="38"/>
        <v>1.8722646377728864E-3</v>
      </c>
      <c r="J87" s="189">
        <f t="shared" si="38"/>
        <v>1.8403121235667954E-3</v>
      </c>
      <c r="K87" s="189">
        <f t="shared" si="38"/>
        <v>1.8388383012614786E-3</v>
      </c>
      <c r="L87" s="189">
        <f t="shared" si="38"/>
        <v>1.8389797275706263E-3</v>
      </c>
      <c r="M87" s="189">
        <f t="shared" si="38"/>
        <v>1.8360741570264474E-3</v>
      </c>
      <c r="N87" s="189">
        <f t="shared" si="38"/>
        <v>1.8385355545937371E-3</v>
      </c>
      <c r="O87" s="189">
        <f t="shared" si="38"/>
        <v>1.8346038046690735E-3</v>
      </c>
      <c r="P87" s="189">
        <f t="shared" si="38"/>
        <v>1.8331808118529132E-3</v>
      </c>
      <c r="Q87" s="189">
        <f t="shared" si="38"/>
        <v>1.833254593399958E-3</v>
      </c>
      <c r="R87" s="189">
        <f t="shared" si="38"/>
        <v>1.8303784230296726E-3</v>
      </c>
      <c r="S87" s="189">
        <f t="shared" si="38"/>
        <v>1.8328390861791506E-3</v>
      </c>
      <c r="T87" s="189">
        <f t="shared" si="38"/>
        <v>1.8288902756159013E-3</v>
      </c>
      <c r="U87" s="189">
        <f t="shared" si="38"/>
        <v>1.8274477471172694E-3</v>
      </c>
      <c r="V87" s="189">
        <f t="shared" si="38"/>
        <v>1.8274537509203061E-3</v>
      </c>
      <c r="W87" s="189">
        <f t="shared" si="38"/>
        <v>1.8246043255475981E-3</v>
      </c>
      <c r="X87" s="189">
        <f t="shared" si="38"/>
        <v>1.8270836155338897E-3</v>
      </c>
      <c r="Y87" s="189">
        <f t="shared" si="38"/>
        <v>1.8230981742666872E-3</v>
      </c>
      <c r="Z87" s="189">
        <f t="shared" si="38"/>
        <v>1.8216359910545028E-3</v>
      </c>
      <c r="AA87" s="189">
        <f t="shared" si="38"/>
        <v>1.8215764488984654E-3</v>
      </c>
      <c r="AB87" s="189">
        <f t="shared" si="38"/>
        <v>1.8187513938235044E-3</v>
      </c>
      <c r="AC87" s="189">
        <f t="shared" si="38"/>
        <v>1.8212500126397195E-3</v>
      </c>
    </row>
    <row r="88" spans="2:29" hidden="1" outlineLevel="1">
      <c r="B88" s="99" t="str">
        <f t="shared" si="36"/>
        <v>Power Cost</v>
      </c>
      <c r="C88" s="99"/>
      <c r="D88" s="99"/>
      <c r="E88" s="99"/>
      <c r="F88" s="99"/>
      <c r="G88" s="189">
        <f t="shared" ref="G88:AC88" si="39">G80/G$77</f>
        <v>-1.1959831779199227E-2</v>
      </c>
      <c r="H88" s="99">
        <f t="shared" si="39"/>
        <v>-1.1594917635880508E-2</v>
      </c>
      <c r="I88" s="189">
        <f t="shared" si="39"/>
        <v>-1.1774548051869551E-2</v>
      </c>
      <c r="J88" s="189">
        <f t="shared" si="39"/>
        <v>-1.1573600810594305E-2</v>
      </c>
      <c r="K88" s="189">
        <f t="shared" si="39"/>
        <v>-1.1564332039928148E-2</v>
      </c>
      <c r="L88" s="189">
        <f t="shared" si="39"/>
        <v>-1.1248366078118247E-2</v>
      </c>
      <c r="M88" s="189">
        <f t="shared" si="39"/>
        <v>-1.1230593766299512E-2</v>
      </c>
      <c r="N88" s="189">
        <f t="shared" si="39"/>
        <v>-1.1401838807251494E-2</v>
      </c>
      <c r="O88" s="189">
        <f t="shared" si="39"/>
        <v>-1.1221600158957568E-2</v>
      </c>
      <c r="P88" s="189">
        <f t="shared" si="39"/>
        <v>2.8545847387493017E-4</v>
      </c>
      <c r="Q88" s="189">
        <f t="shared" si="39"/>
        <v>-1.0914324926596155E-2</v>
      </c>
      <c r="R88" s="189">
        <f t="shared" si="39"/>
        <v>-1.0897201577728759E-2</v>
      </c>
      <c r="S88" s="189">
        <f t="shared" si="39"/>
        <v>-8.2240943739369712E-3</v>
      </c>
      <c r="T88" s="189">
        <f t="shared" si="39"/>
        <v>-1.0888341856623438E-2</v>
      </c>
      <c r="U88" s="189">
        <f t="shared" si="39"/>
        <v>8.4738090590776929E-3</v>
      </c>
      <c r="V88" s="189">
        <f t="shared" si="39"/>
        <v>-1.059719753824818E-2</v>
      </c>
      <c r="W88" s="189">
        <f t="shared" si="39"/>
        <v>-1.0580674042903972E-2</v>
      </c>
      <c r="X88" s="189">
        <f t="shared" si="39"/>
        <v>-5.9606834689534408E-3</v>
      </c>
      <c r="Y88" s="189">
        <f t="shared" si="39"/>
        <v>-1.0571940042036229E-2</v>
      </c>
      <c r="Z88" s="189">
        <f t="shared" si="39"/>
        <v>-1.056346100702436E-2</v>
      </c>
      <c r="AA88" s="189">
        <f t="shared" si="39"/>
        <v>-1.0295695077436287E-2</v>
      </c>
      <c r="AB88" s="189">
        <f t="shared" si="39"/>
        <v>-1.0279727641292527E-2</v>
      </c>
      <c r="AC88" s="189">
        <f t="shared" si="39"/>
        <v>-1.0425822470048914E-2</v>
      </c>
    </row>
    <row r="89" spans="2:29" hidden="1" outlineLevel="1">
      <c r="B89" s="99" t="str">
        <f t="shared" si="36"/>
        <v>Salary for dedicated Staff</v>
      </c>
      <c r="C89" s="99"/>
      <c r="D89" s="99"/>
      <c r="E89" s="99"/>
      <c r="F89" s="99"/>
      <c r="G89" s="189">
        <f t="shared" ref="G89:AC89" si="40">G81/G$77</f>
        <v>1.9186374218562346E-3</v>
      </c>
      <c r="H89" s="99">
        <f t="shared" si="40"/>
        <v>2.0736101830408546E-3</v>
      </c>
      <c r="I89" s="189">
        <f t="shared" si="40"/>
        <v>3.4349946310362699E-3</v>
      </c>
      <c r="J89" s="189">
        <f t="shared" si="40"/>
        <v>2.121542875954432E-3</v>
      </c>
      <c r="K89" s="189">
        <f t="shared" si="40"/>
        <v>2.1728399244445554E-3</v>
      </c>
      <c r="L89" s="189">
        <f t="shared" si="40"/>
        <v>2.1663094146111509E-3</v>
      </c>
      <c r="M89" s="189">
        <f t="shared" si="40"/>
        <v>2.216958832919661E-3</v>
      </c>
      <c r="N89" s="189">
        <f t="shared" si="40"/>
        <v>2.1697489914922138E-3</v>
      </c>
      <c r="O89" s="189">
        <f t="shared" si="40"/>
        <v>2.2705630496768631E-3</v>
      </c>
      <c r="P89" s="189">
        <f t="shared" si="40"/>
        <v>2.3255219569920608E-3</v>
      </c>
      <c r="Q89" s="189">
        <f t="shared" si="40"/>
        <v>2.3201891179079749E-3</v>
      </c>
      <c r="R89" s="189">
        <f t="shared" si="40"/>
        <v>2.3744627270580608E-3</v>
      </c>
      <c r="S89" s="189">
        <f t="shared" si="40"/>
        <v>2.3230472235968472E-3</v>
      </c>
      <c r="T89" s="189">
        <f t="shared" si="40"/>
        <v>2.4318455299229477E-3</v>
      </c>
      <c r="U89" s="189">
        <f t="shared" si="40"/>
        <v>2.4906756089212376E-3</v>
      </c>
      <c r="V89" s="189">
        <f t="shared" si="40"/>
        <v>2.4866404738154496E-3</v>
      </c>
      <c r="W89" s="189">
        <f t="shared" si="40"/>
        <v>2.5448323036238304E-3</v>
      </c>
      <c r="X89" s="189">
        <f t="shared" si="40"/>
        <v>2.488890056437701E-3</v>
      </c>
      <c r="Y89" s="189">
        <f t="shared" si="40"/>
        <v>2.6062999183606972E-3</v>
      </c>
      <c r="Z89" s="189">
        <f t="shared" si="40"/>
        <v>2.6693148217840257E-3</v>
      </c>
      <c r="AA89" s="189">
        <f t="shared" si="40"/>
        <v>2.6666934955131591E-3</v>
      </c>
      <c r="AB89" s="189">
        <f t="shared" si="40"/>
        <v>2.7291217053599199E-3</v>
      </c>
      <c r="AC89" s="189">
        <f t="shared" si="40"/>
        <v>2.6682794318094952E-3</v>
      </c>
    </row>
    <row r="90" spans="2:29" hidden="1" outlineLevel="1">
      <c r="B90" s="99" t="str">
        <f t="shared" si="36"/>
        <v>Change in Inventory</v>
      </c>
      <c r="C90" s="99"/>
      <c r="D90" s="99"/>
      <c r="E90" s="99"/>
      <c r="F90" s="99"/>
      <c r="G90" s="189">
        <f t="shared" ref="G90:AC90" si="41">G82/G$77</f>
        <v>-2.9346359926558659E-2</v>
      </c>
      <c r="H90" s="99">
        <f t="shared" si="41"/>
        <v>-1.0345801529451097E-3</v>
      </c>
      <c r="I90" s="189">
        <f t="shared" si="41"/>
        <v>-1.4971164610518527E-2</v>
      </c>
      <c r="J90" s="189">
        <f t="shared" si="41"/>
        <v>2.0658166616935171E-3</v>
      </c>
      <c r="K90" s="189">
        <f t="shared" si="41"/>
        <v>-1.2670436489379296E-6</v>
      </c>
      <c r="L90" s="189">
        <f t="shared" si="41"/>
        <v>-1.9868201389485551</v>
      </c>
      <c r="M90" s="189">
        <f t="shared" si="41"/>
        <v>0.6609604822616405</v>
      </c>
      <c r="N90" s="189">
        <f t="shared" si="41"/>
        <v>-0.33521388611851904</v>
      </c>
      <c r="O90" s="189">
        <f t="shared" si="41"/>
        <v>0.66034155224860691</v>
      </c>
      <c r="P90" s="189">
        <f t="shared" si="41"/>
        <v>0.65994505751246435</v>
      </c>
      <c r="Q90" s="189">
        <f t="shared" si="41"/>
        <v>-1.9806184591861284</v>
      </c>
      <c r="R90" s="189">
        <f t="shared" si="41"/>
        <v>0.65891069066870378</v>
      </c>
      <c r="S90" s="189">
        <f t="shared" si="41"/>
        <v>-9.1297499072023197E-3</v>
      </c>
      <c r="T90" s="189">
        <f t="shared" si="41"/>
        <v>0.65831783696540147</v>
      </c>
      <c r="U90" s="189">
        <f t="shared" si="41"/>
        <v>0.65788115514133516</v>
      </c>
      <c r="V90" s="189">
        <f t="shared" si="41"/>
        <v>-2.0181940426013183</v>
      </c>
      <c r="W90" s="189">
        <f t="shared" si="41"/>
        <v>0.67142951786142124</v>
      </c>
      <c r="X90" s="189">
        <f t="shared" si="41"/>
        <v>-1.6259287944123499E-2</v>
      </c>
      <c r="Y90" s="189">
        <f t="shared" si="41"/>
        <v>0.67107035341655552</v>
      </c>
      <c r="Z90" s="189">
        <f t="shared" si="41"/>
        <v>0.67036201207619817</v>
      </c>
      <c r="AA90" s="189">
        <f t="shared" si="41"/>
        <v>-2.0116818378733718</v>
      </c>
      <c r="AB90" s="189">
        <f t="shared" si="41"/>
        <v>0.66927649792796107</v>
      </c>
      <c r="AC90" s="189">
        <f t="shared" si="41"/>
        <v>-8.7241427027359864E-3</v>
      </c>
    </row>
    <row r="91" spans="2:29" hidden="1" outlineLevel="1">
      <c r="B91" s="99" t="str">
        <f t="shared" si="36"/>
        <v>Other Cost</v>
      </c>
      <c r="C91" s="99"/>
      <c r="D91" s="99"/>
      <c r="E91" s="99"/>
      <c r="F91" s="99"/>
      <c r="G91" s="189">
        <f t="shared" ref="G91:AC91" si="42">G83/G$77</f>
        <v>2.4377456162386943E-2</v>
      </c>
      <c r="H91" s="99">
        <f t="shared" si="42"/>
        <v>2.3633659870263619E-2</v>
      </c>
      <c r="I91" s="189">
        <f t="shared" si="42"/>
        <v>2.3999796507638414E-2</v>
      </c>
      <c r="J91" s="189">
        <f t="shared" si="42"/>
        <v>2.3590210264656335E-2</v>
      </c>
      <c r="K91" s="189">
        <f t="shared" si="42"/>
        <v>2.3571317937843977E-2</v>
      </c>
      <c r="L91" s="189">
        <f t="shared" si="42"/>
        <v>2.3573130823999009E-2</v>
      </c>
      <c r="M91" s="189">
        <f t="shared" si="42"/>
        <v>2.3535885500665963E-2</v>
      </c>
      <c r="N91" s="189">
        <f t="shared" si="42"/>
        <v>2.356743715183084E-2</v>
      </c>
      <c r="O91" s="189">
        <f t="shared" si="42"/>
        <v>2.3517037653700546E-2</v>
      </c>
      <c r="P91" s="189">
        <f t="shared" si="42"/>
        <v>2.349879688937126E-2</v>
      </c>
      <c r="Q91" s="189">
        <f t="shared" si="42"/>
        <v>2.3499742664919953E-2</v>
      </c>
      <c r="R91" s="189">
        <f t="shared" si="42"/>
        <v>2.3462874210420776E-2</v>
      </c>
      <c r="S91" s="189">
        <f t="shared" si="42"/>
        <v>2.3494416447383371E-2</v>
      </c>
      <c r="T91" s="189">
        <f t="shared" si="42"/>
        <v>2.3443798255887788E-2</v>
      </c>
      <c r="U91" s="189">
        <f t="shared" si="42"/>
        <v>2.3425307071615449E-2</v>
      </c>
      <c r="V91" s="189">
        <f t="shared" si="42"/>
        <v>2.3425384031917029E-2</v>
      </c>
      <c r="W91" s="189">
        <f t="shared" si="42"/>
        <v>2.3388858410629834E-2</v>
      </c>
      <c r="X91" s="189">
        <f t="shared" si="42"/>
        <v>2.3420639417413791E-2</v>
      </c>
      <c r="Y91" s="189">
        <f t="shared" si="42"/>
        <v>2.3369551671869559E-2</v>
      </c>
      <c r="Z91" s="189">
        <f t="shared" si="42"/>
        <v>2.3350808541843321E-2</v>
      </c>
      <c r="AA91" s="189">
        <f t="shared" si="42"/>
        <v>2.3350045295238278E-2</v>
      </c>
      <c r="AB91" s="189">
        <f t="shared" si="42"/>
        <v>2.3313832066854823E-2</v>
      </c>
      <c r="AC91" s="189">
        <f t="shared" si="42"/>
        <v>2.3345860842023405E-2</v>
      </c>
    </row>
    <row r="92" spans="2:29" s="126" customFormat="1" hidden="1" outlineLevel="1">
      <c r="B92" s="126" t="s">
        <v>572</v>
      </c>
      <c r="G92" s="126">
        <f t="shared" ref="G92:AC92" si="43">1-SUM(G86:G91)</f>
        <v>0.21438323954259253</v>
      </c>
      <c r="H92" s="126">
        <f t="shared" si="43"/>
        <v>0.22916082877077137</v>
      </c>
      <c r="I92" s="127">
        <f>1-SUM(I86:I91)</f>
        <v>0.22044883221019262</v>
      </c>
      <c r="J92" s="127">
        <f t="shared" si="43"/>
        <v>0.22742774822233702</v>
      </c>
      <c r="K92" s="127">
        <f t="shared" si="43"/>
        <v>0.23005889940282076</v>
      </c>
      <c r="L92" s="127">
        <f t="shared" si="43"/>
        <v>0.17524089915314089</v>
      </c>
      <c r="M92" s="127">
        <f t="shared" si="43"/>
        <v>0.32268119301404696</v>
      </c>
      <c r="N92" s="127">
        <f>1-SUM(N86:N91)</f>
        <v>0.23902804098421315</v>
      </c>
      <c r="O92" s="127">
        <f t="shared" si="43"/>
        <v>0.32325784340230423</v>
      </c>
      <c r="P92" s="127">
        <f t="shared" si="43"/>
        <v>0.31211198435544441</v>
      </c>
      <c r="Q92" s="127">
        <f t="shared" si="43"/>
        <v>0.17733261576855996</v>
      </c>
      <c r="R92" s="127">
        <f t="shared" si="43"/>
        <v>0.32431879554851639</v>
      </c>
      <c r="S92" s="127">
        <f>1-SUM(S86:S91)</f>
        <v>0.28381281238741507</v>
      </c>
      <c r="T92" s="127">
        <f t="shared" si="43"/>
        <v>0.32486597082979529</v>
      </c>
      <c r="U92" s="127">
        <f t="shared" si="43"/>
        <v>0.30590160537193312</v>
      </c>
      <c r="V92" s="127">
        <f t="shared" si="43"/>
        <v>0.22332206048404835</v>
      </c>
      <c r="W92" s="127">
        <f t="shared" si="43"/>
        <v>0.31139286114168141</v>
      </c>
      <c r="X92" s="127">
        <f t="shared" si="43"/>
        <v>0.29105616634314413</v>
      </c>
      <c r="Y92" s="127">
        <f t="shared" si="43"/>
        <v>0.31170263686098376</v>
      </c>
      <c r="Z92" s="127">
        <f t="shared" si="43"/>
        <v>0.31235968957614435</v>
      </c>
      <c r="AA92" s="127">
        <f t="shared" si="43"/>
        <v>0.22534301538549084</v>
      </c>
      <c r="AB92" s="127">
        <f t="shared" si="43"/>
        <v>0.31314152454729327</v>
      </c>
      <c r="AC92" s="127">
        <f t="shared" si="43"/>
        <v>0.29036681361138439</v>
      </c>
    </row>
    <row r="93" spans="2:29" hidden="1" outlineLevel="1">
      <c r="G93" s="9">
        <f>G92*G77</f>
        <v>515127508.4880628</v>
      </c>
      <c r="H93" s="9">
        <f>H92*H77</f>
        <v>567965165.73961365</v>
      </c>
      <c r="I93" s="9">
        <f>I92*I77</f>
        <v>1076074986.1026762</v>
      </c>
      <c r="J93" s="9">
        <f>J92*J77</f>
        <v>564707995.50618005</v>
      </c>
      <c r="K93" s="9">
        <f t="shared" ref="K93:AC93" si="44">K92*K77</f>
        <v>571699048.31179845</v>
      </c>
      <c r="L93" s="9">
        <f t="shared" si="44"/>
        <v>447708165.29611582</v>
      </c>
      <c r="M93" s="9">
        <f t="shared" si="44"/>
        <v>825695504.37017107</v>
      </c>
      <c r="N93" s="9">
        <f t="shared" si="44"/>
        <v>2409810713.4842649</v>
      </c>
      <c r="O93" s="9">
        <f t="shared" si="44"/>
        <v>827834011.47637033</v>
      </c>
      <c r="P93" s="9">
        <f t="shared" si="44"/>
        <v>799910920.81436241</v>
      </c>
      <c r="Q93" s="9">
        <f t="shared" si="44"/>
        <v>466918117.23790312</v>
      </c>
      <c r="R93" s="9">
        <f t="shared" si="44"/>
        <v>855275670.60184884</v>
      </c>
      <c r="S93" s="9">
        <f t="shared" si="44"/>
        <v>2949938720.130487</v>
      </c>
      <c r="T93" s="9">
        <f t="shared" si="44"/>
        <v>857415753.44111753</v>
      </c>
      <c r="U93" s="9">
        <f t="shared" si="44"/>
        <v>808000585.62831366</v>
      </c>
      <c r="V93" s="9">
        <f t="shared" si="44"/>
        <v>605605179.10485709</v>
      </c>
      <c r="W93" s="9">
        <f t="shared" si="44"/>
        <v>845754468.07763314</v>
      </c>
      <c r="X93" s="9">
        <f t="shared" si="44"/>
        <v>3116775986.2519236</v>
      </c>
      <c r="Y93" s="9">
        <f t="shared" si="44"/>
        <v>847295244.88177419</v>
      </c>
      <c r="Z93" s="9">
        <f t="shared" si="44"/>
        <v>849762835.61092412</v>
      </c>
      <c r="AA93" s="9">
        <f t="shared" si="44"/>
        <v>628980836.74143445</v>
      </c>
      <c r="AB93" s="9">
        <f t="shared" si="44"/>
        <v>875403014.13533926</v>
      </c>
      <c r="AC93" s="9">
        <f t="shared" si="44"/>
        <v>3201441931.369472</v>
      </c>
    </row>
    <row r="94" spans="2:29" s="47" customFormat="1" hidden="1" outlineLevel="1">
      <c r="B94" s="47" t="s">
        <v>508</v>
      </c>
    </row>
    <row r="95" spans="2:29" hidden="1" outlineLevel="1">
      <c r="B95" s="99" t="s">
        <v>15</v>
      </c>
      <c r="C95" s="99"/>
      <c r="D95" s="99"/>
      <c r="E95" s="99"/>
      <c r="F95" s="99"/>
      <c r="G95" s="99"/>
      <c r="H95" s="99"/>
      <c r="I95" s="99">
        <f>I60+I15</f>
        <v>3229477457.1428576</v>
      </c>
      <c r="J95" s="99"/>
      <c r="K95" s="99"/>
      <c r="L95" s="99"/>
      <c r="M95" s="99"/>
      <c r="N95" s="99">
        <f t="shared" ref="N95:AC95" si="45">N60+N15</f>
        <v>3023869281.8000002</v>
      </c>
      <c r="O95" s="99">
        <f t="shared" si="45"/>
        <v>775418059.0999999</v>
      </c>
      <c r="P95" s="99">
        <f t="shared" si="45"/>
        <v>698001253.18999994</v>
      </c>
      <c r="Q95" s="99">
        <f t="shared" si="45"/>
        <v>916422055.80200005</v>
      </c>
      <c r="R95" s="99">
        <f t="shared" si="45"/>
        <v>1000225700.04476</v>
      </c>
      <c r="S95" s="99">
        <f t="shared" si="45"/>
        <v>3390067068.1367598</v>
      </c>
      <c r="T95" s="99">
        <f t="shared" si="45"/>
        <v>894948525.03162003</v>
      </c>
      <c r="U95" s="99">
        <f t="shared" si="45"/>
        <v>805578672.528458</v>
      </c>
      <c r="V95" s="99">
        <f t="shared" si="45"/>
        <v>999665199.39092135</v>
      </c>
      <c r="W95" s="99">
        <f t="shared" si="45"/>
        <v>1214045143.2570758</v>
      </c>
      <c r="X95" s="99">
        <f t="shared" si="45"/>
        <v>3914237540.208075</v>
      </c>
      <c r="Y95" s="99">
        <f t="shared" si="45"/>
        <v>1084810154.9275823</v>
      </c>
      <c r="Z95" s="99">
        <f t="shared" si="45"/>
        <v>976454139.43482423</v>
      </c>
      <c r="AA95" s="99">
        <f t="shared" si="45"/>
        <v>1098067950.447211</v>
      </c>
      <c r="AB95" s="99">
        <f t="shared" si="45"/>
        <v>1464270133.5759509</v>
      </c>
      <c r="AC95" s="99">
        <f t="shared" si="45"/>
        <v>4623602378.3855686</v>
      </c>
    </row>
    <row r="96" spans="2:29" hidden="1" outlineLevel="1">
      <c r="B96" s="99" t="s">
        <v>0</v>
      </c>
      <c r="C96" s="99"/>
      <c r="D96" s="99"/>
      <c r="E96" s="99"/>
      <c r="F96" s="99"/>
      <c r="G96" s="99"/>
      <c r="H96" s="99"/>
      <c r="I96" s="99">
        <f>I12</f>
        <v>4129885658.181818</v>
      </c>
      <c r="J96" s="99"/>
      <c r="K96" s="99"/>
      <c r="L96" s="99"/>
      <c r="M96" s="99"/>
      <c r="N96" s="99">
        <f t="shared" ref="N96:AC96" si="46">N12</f>
        <v>8534628790.7839661</v>
      </c>
      <c r="O96" s="99">
        <f t="shared" si="46"/>
        <v>2163881399.1784263</v>
      </c>
      <c r="P96" s="99">
        <f t="shared" si="46"/>
        <v>2163884146.3337607</v>
      </c>
      <c r="Q96" s="99">
        <f t="shared" si="46"/>
        <v>2221012946.2303185</v>
      </c>
      <c r="R96" s="99">
        <f t="shared" si="46"/>
        <v>2223090357.1356478</v>
      </c>
      <c r="S96" s="99">
        <f t="shared" si="46"/>
        <v>8771868848.8781548</v>
      </c>
      <c r="T96" s="99">
        <f t="shared" si="46"/>
        <v>2223165899.3503876</v>
      </c>
      <c r="U96" s="99">
        <f t="shared" si="46"/>
        <v>2223168646.340014</v>
      </c>
      <c r="V96" s="99">
        <f t="shared" si="46"/>
        <v>2280297446.230546</v>
      </c>
      <c r="W96" s="99">
        <f t="shared" si="46"/>
        <v>2282374857.1356559</v>
      </c>
      <c r="X96" s="99">
        <f t="shared" si="46"/>
        <v>9009006849.0566025</v>
      </c>
      <c r="Y96" s="99">
        <f t="shared" si="46"/>
        <v>2282450399.3503881</v>
      </c>
      <c r="Z96" s="99">
        <f t="shared" si="46"/>
        <v>2282453146.340014</v>
      </c>
      <c r="AA96" s="99">
        <f t="shared" si="46"/>
        <v>2339581946.230546</v>
      </c>
      <c r="AB96" s="99">
        <f t="shared" si="46"/>
        <v>2341659357.1356564</v>
      </c>
      <c r="AC96" s="99">
        <f t="shared" si="46"/>
        <v>9246144849.0566044</v>
      </c>
    </row>
    <row r="97" spans="1:30" hidden="1" outlineLevel="1">
      <c r="B97" s="99" t="s">
        <v>36</v>
      </c>
      <c r="C97" s="99"/>
      <c r="D97" s="99"/>
      <c r="E97" s="99"/>
      <c r="F97" s="99"/>
      <c r="G97" s="99"/>
      <c r="H97" s="99"/>
      <c r="I97" s="99">
        <f>I13</f>
        <v>751405729.5478512</v>
      </c>
      <c r="J97" s="99"/>
      <c r="K97" s="99"/>
      <c r="L97" s="99"/>
      <c r="M97" s="99"/>
      <c r="N97" s="99">
        <f t="shared" ref="N97:AC97" si="47">N13</f>
        <v>1547078374.4578853</v>
      </c>
      <c r="O97" s="99">
        <f t="shared" si="47"/>
        <v>397027882.28982145</v>
      </c>
      <c r="P97" s="99">
        <f t="shared" si="47"/>
        <v>399013021.70127052</v>
      </c>
      <c r="Q97" s="99">
        <f t="shared" si="47"/>
        <v>411994609.73607212</v>
      </c>
      <c r="R97" s="99">
        <f t="shared" si="47"/>
        <v>414054582.78475243</v>
      </c>
      <c r="S97" s="99">
        <f t="shared" si="47"/>
        <v>1622090096.5119164</v>
      </c>
      <c r="T97" s="99">
        <f t="shared" si="47"/>
        <v>416124855.69867617</v>
      </c>
      <c r="U97" s="99">
        <f t="shared" si="47"/>
        <v>418205479.97716951</v>
      </c>
      <c r="V97" s="99">
        <f t="shared" si="47"/>
        <v>431504414.24044341</v>
      </c>
      <c r="W97" s="99">
        <f t="shared" si="47"/>
        <v>433661936.31164563</v>
      </c>
      <c r="X97" s="99">
        <f t="shared" si="47"/>
        <v>1699496686.2279348</v>
      </c>
      <c r="Y97" s="99">
        <f t="shared" si="47"/>
        <v>435830245.99320376</v>
      </c>
      <c r="Z97" s="99">
        <f t="shared" si="47"/>
        <v>438009397.2231698</v>
      </c>
      <c r="AA97" s="99">
        <f t="shared" si="47"/>
        <v>451633196.00692934</v>
      </c>
      <c r="AB97" s="99">
        <f t="shared" si="47"/>
        <v>453891361.98696393</v>
      </c>
      <c r="AC97" s="99">
        <f t="shared" si="47"/>
        <v>1779364201.2102668</v>
      </c>
    </row>
    <row r="98" spans="1:30" hidden="1" outlineLevel="1">
      <c r="B98" s="99" t="s">
        <v>302</v>
      </c>
      <c r="C98" s="99"/>
      <c r="D98" s="99"/>
      <c r="E98" s="99"/>
      <c r="F98" s="99"/>
      <c r="G98" s="99"/>
      <c r="H98" s="99"/>
      <c r="I98" s="99">
        <f>-I80-I63</f>
        <v>171875000</v>
      </c>
      <c r="J98" s="99"/>
      <c r="K98" s="99"/>
      <c r="L98" s="99"/>
      <c r="M98" s="99"/>
      <c r="N98" s="99">
        <f t="shared" ref="N98:AC98" si="48">-N80-N63</f>
        <v>240790000</v>
      </c>
      <c r="O98" s="99">
        <f t="shared" si="48"/>
        <v>28737500</v>
      </c>
      <c r="P98" s="99">
        <f t="shared" si="48"/>
        <v>-731600.71428566054</v>
      </c>
      <c r="Q98" s="99">
        <f t="shared" si="48"/>
        <v>85937500</v>
      </c>
      <c r="R98" s="99">
        <f t="shared" si="48"/>
        <v>108817500</v>
      </c>
      <c r="S98" s="99">
        <f t="shared" si="48"/>
        <v>222760899.28571433</v>
      </c>
      <c r="T98" s="99">
        <f t="shared" si="48"/>
        <v>28737500</v>
      </c>
      <c r="U98" s="99">
        <f t="shared" si="48"/>
        <v>-22382499.999999978</v>
      </c>
      <c r="V98" s="99">
        <f t="shared" si="48"/>
        <v>85937500</v>
      </c>
      <c r="W98" s="99">
        <f t="shared" si="48"/>
        <v>120257500</v>
      </c>
      <c r="X98" s="99">
        <f t="shared" si="48"/>
        <v>212550000.00000003</v>
      </c>
      <c r="Y98" s="99">
        <f t="shared" si="48"/>
        <v>28737500</v>
      </c>
      <c r="Z98" s="99">
        <f t="shared" si="48"/>
        <v>28737500</v>
      </c>
      <c r="AA98" s="99">
        <f t="shared" si="48"/>
        <v>85937500</v>
      </c>
      <c r="AB98" s="99">
        <f t="shared" si="48"/>
        <v>131697500</v>
      </c>
      <c r="AC98" s="99">
        <f t="shared" si="48"/>
        <v>275110000</v>
      </c>
    </row>
    <row r="99" spans="1:30" hidden="1" outlineLevel="1">
      <c r="B99" s="99" t="s">
        <v>162</v>
      </c>
      <c r="C99" s="99"/>
      <c r="D99" s="99"/>
      <c r="E99" s="99"/>
      <c r="F99" s="99"/>
      <c r="G99" s="99"/>
      <c r="H99" s="99"/>
      <c r="I99" s="99">
        <f>SUM(I95:I98)</f>
        <v>8282643844.8725271</v>
      </c>
      <c r="J99" s="99"/>
      <c r="K99" s="99"/>
      <c r="L99" s="99"/>
      <c r="M99" s="99"/>
      <c r="N99" s="99">
        <f t="shared" ref="N99:AC99" si="49">SUM(N95:N98)</f>
        <v>13346366447.041851</v>
      </c>
      <c r="O99" s="99">
        <f t="shared" si="49"/>
        <v>3365064840.5682478</v>
      </c>
      <c r="P99" s="99">
        <f t="shared" si="49"/>
        <v>3260166820.5107455</v>
      </c>
      <c r="Q99" s="99">
        <f t="shared" si="49"/>
        <v>3635367111.7683907</v>
      </c>
      <c r="R99" s="99">
        <f t="shared" si="49"/>
        <v>3746188139.9651599</v>
      </c>
      <c r="S99" s="99">
        <f t="shared" si="49"/>
        <v>14006786912.812548</v>
      </c>
      <c r="T99" s="99">
        <f t="shared" si="49"/>
        <v>3562976780.0806837</v>
      </c>
      <c r="U99" s="99">
        <f t="shared" si="49"/>
        <v>3424570298.8456416</v>
      </c>
      <c r="V99" s="99">
        <f t="shared" si="49"/>
        <v>3797404559.8619108</v>
      </c>
      <c r="W99" s="99">
        <f t="shared" si="49"/>
        <v>4050339436.7043772</v>
      </c>
      <c r="X99" s="99">
        <f t="shared" si="49"/>
        <v>14835291075.492611</v>
      </c>
      <c r="Y99" s="99">
        <f t="shared" si="49"/>
        <v>3831828300.271174</v>
      </c>
      <c r="Z99" s="99">
        <f t="shared" si="49"/>
        <v>3725654182.9980083</v>
      </c>
      <c r="AA99" s="99">
        <f t="shared" si="49"/>
        <v>3975220592.6846867</v>
      </c>
      <c r="AB99" s="99">
        <f t="shared" si="49"/>
        <v>4391518352.6985703</v>
      </c>
      <c r="AC99" s="99">
        <f t="shared" si="49"/>
        <v>15924221428.652439</v>
      </c>
    </row>
    <row r="100" spans="1:30" hidden="1" outlineLevel="1"/>
    <row r="101" spans="1:30" hidden="1" outlineLevel="1">
      <c r="B101" s="99" t="s">
        <v>529</v>
      </c>
      <c r="C101" s="99"/>
      <c r="D101" s="99"/>
      <c r="E101" s="99"/>
      <c r="F101" s="99"/>
      <c r="G101" s="99"/>
      <c r="H101" s="99"/>
      <c r="I101" s="99">
        <f>I95</f>
        <v>3229477457.1428576</v>
      </c>
      <c r="J101" s="99"/>
      <c r="K101" s="99"/>
      <c r="L101" s="99"/>
      <c r="M101" s="99"/>
      <c r="N101" s="99">
        <f t="shared" ref="N101:AC101" si="50">N95</f>
        <v>3023869281.8000002</v>
      </c>
      <c r="O101" s="99">
        <f t="shared" si="50"/>
        <v>775418059.0999999</v>
      </c>
      <c r="P101" s="99">
        <f t="shared" si="50"/>
        <v>698001253.18999994</v>
      </c>
      <c r="Q101" s="99">
        <f t="shared" si="50"/>
        <v>916422055.80200005</v>
      </c>
      <c r="R101" s="99">
        <f t="shared" si="50"/>
        <v>1000225700.04476</v>
      </c>
      <c r="S101" s="99">
        <f t="shared" si="50"/>
        <v>3390067068.1367598</v>
      </c>
      <c r="T101" s="99">
        <f t="shared" si="50"/>
        <v>894948525.03162003</v>
      </c>
      <c r="U101" s="99">
        <f t="shared" si="50"/>
        <v>805578672.528458</v>
      </c>
      <c r="V101" s="99">
        <f t="shared" si="50"/>
        <v>999665199.39092135</v>
      </c>
      <c r="W101" s="99">
        <f t="shared" si="50"/>
        <v>1214045143.2570758</v>
      </c>
      <c r="X101" s="99">
        <f t="shared" si="50"/>
        <v>3914237540.208075</v>
      </c>
      <c r="Y101" s="99">
        <f t="shared" si="50"/>
        <v>1084810154.9275823</v>
      </c>
      <c r="Z101" s="99">
        <f t="shared" si="50"/>
        <v>976454139.43482423</v>
      </c>
      <c r="AA101" s="99">
        <f t="shared" si="50"/>
        <v>1098067950.447211</v>
      </c>
      <c r="AB101" s="99">
        <f t="shared" si="50"/>
        <v>1464270133.5759509</v>
      </c>
      <c r="AC101" s="99">
        <f t="shared" si="50"/>
        <v>4623602378.3855686</v>
      </c>
    </row>
    <row r="102" spans="1:30" hidden="1" outlineLevel="1">
      <c r="B102" s="99" t="s">
        <v>530</v>
      </c>
      <c r="C102" s="99"/>
      <c r="D102" s="99"/>
      <c r="E102" s="99"/>
      <c r="F102" s="99"/>
      <c r="G102" s="99"/>
      <c r="H102" s="99"/>
      <c r="I102" s="99">
        <f>I101*I56</f>
        <v>815033045.63519943</v>
      </c>
      <c r="J102" s="99"/>
      <c r="K102" s="99"/>
      <c r="L102" s="99"/>
      <c r="M102" s="99"/>
      <c r="N102" s="99">
        <f t="shared" ref="N102:AC102" si="51">N101*N56</f>
        <v>861799900.98602545</v>
      </c>
      <c r="O102" s="99">
        <f t="shared" si="51"/>
        <v>212766805.7049714</v>
      </c>
      <c r="P102" s="99">
        <f t="shared" si="51"/>
        <v>190847138.99009565</v>
      </c>
      <c r="Q102" s="99">
        <f t="shared" si="51"/>
        <v>367006741.43192261</v>
      </c>
      <c r="R102" s="99">
        <f t="shared" si="51"/>
        <v>331791435.81431866</v>
      </c>
      <c r="S102" s="99">
        <f t="shared" si="51"/>
        <v>1102438100.0404382</v>
      </c>
      <c r="T102" s="99">
        <f t="shared" si="51"/>
        <v>242950017.44414106</v>
      </c>
      <c r="U102" s="99">
        <f t="shared" si="51"/>
        <v>217941532.51266676</v>
      </c>
      <c r="V102" s="99">
        <f t="shared" si="51"/>
        <v>417807888.24172193</v>
      </c>
      <c r="W102" s="99">
        <f t="shared" si="51"/>
        <v>402005774.40998906</v>
      </c>
      <c r="X102" s="99">
        <f t="shared" si="51"/>
        <v>1280727341.4613032</v>
      </c>
      <c r="Y102" s="99">
        <f t="shared" si="51"/>
        <v>291424061.76937187</v>
      </c>
      <c r="Z102" s="99">
        <f t="shared" si="51"/>
        <v>261490451.78246665</v>
      </c>
      <c r="AA102" s="99">
        <f t="shared" si="51"/>
        <v>471898037.89059883</v>
      </c>
      <c r="AB102" s="99">
        <f t="shared" si="51"/>
        <v>466816280.46749711</v>
      </c>
      <c r="AC102" s="99">
        <f t="shared" si="51"/>
        <v>1491635655.5216444</v>
      </c>
    </row>
    <row r="103" spans="1:30" hidden="1" outlineLevel="1">
      <c r="B103" s="99" t="s">
        <v>531</v>
      </c>
      <c r="C103" s="99"/>
      <c r="D103" s="99"/>
      <c r="E103" s="99"/>
      <c r="F103" s="99"/>
      <c r="G103" s="99"/>
      <c r="H103" s="99"/>
      <c r="I103" s="189">
        <f>I56</f>
        <v>0.25237304067025912</v>
      </c>
      <c r="J103" s="189"/>
      <c r="K103" s="189"/>
      <c r="L103" s="189"/>
      <c r="M103" s="189"/>
      <c r="N103" s="189">
        <f t="shared" ref="N103:AC103" si="52">N56</f>
        <v>0.28499905937502268</v>
      </c>
      <c r="O103" s="189">
        <f t="shared" si="52"/>
        <v>0.27438979942242026</v>
      </c>
      <c r="P103" s="189">
        <f t="shared" si="52"/>
        <v>0.27341947900220454</v>
      </c>
      <c r="Q103" s="189">
        <f t="shared" si="52"/>
        <v>0.40047785745481579</v>
      </c>
      <c r="R103" s="189">
        <f t="shared" si="52"/>
        <v>0.3317165673702156</v>
      </c>
      <c r="S103" s="189">
        <f t="shared" si="52"/>
        <v>0.32519654563836031</v>
      </c>
      <c r="T103" s="189">
        <f t="shared" si="52"/>
        <v>0.27146814665743735</v>
      </c>
      <c r="U103" s="189">
        <f t="shared" si="52"/>
        <v>0.27054034564819951</v>
      </c>
      <c r="V103" s="189">
        <f t="shared" si="52"/>
        <v>0.41794781742555909</v>
      </c>
      <c r="W103" s="189">
        <f t="shared" si="52"/>
        <v>0.33112918135109559</v>
      </c>
      <c r="X103" s="189">
        <f t="shared" si="52"/>
        <v>0.32719714332748995</v>
      </c>
      <c r="Y103" s="189">
        <f t="shared" si="52"/>
        <v>0.26864061001422523</v>
      </c>
      <c r="Z103" s="189">
        <f t="shared" si="52"/>
        <v>0.26779593758885434</v>
      </c>
      <c r="AA103" s="189">
        <f t="shared" si="52"/>
        <v>0.42975303823265998</v>
      </c>
      <c r="AB103" s="189">
        <f t="shared" si="52"/>
        <v>0.3188047545076037</v>
      </c>
      <c r="AC103" s="189">
        <f t="shared" si="52"/>
        <v>0.32261330742772076</v>
      </c>
    </row>
    <row r="104" spans="1:30" hidden="1" outlineLevel="1">
      <c r="B104" s="99" t="s">
        <v>574</v>
      </c>
      <c r="C104" s="99"/>
      <c r="D104" s="99"/>
      <c r="E104" s="99"/>
      <c r="F104" s="99"/>
      <c r="G104" s="99"/>
      <c r="H104" s="99"/>
      <c r="I104" s="99">
        <f>I44-I118</f>
        <v>792379494.77876163</v>
      </c>
      <c r="J104" s="99"/>
      <c r="K104" s="99"/>
      <c r="L104" s="99"/>
      <c r="M104" s="99"/>
      <c r="N104" s="99">
        <f t="shared" ref="N104:AC104" si="53">N44-N118</f>
        <v>836463730.33592629</v>
      </c>
      <c r="O104" s="99">
        <f t="shared" si="53"/>
        <v>206024336.54366171</v>
      </c>
      <c r="P104" s="99">
        <f t="shared" si="53"/>
        <v>183929291.42377377</v>
      </c>
      <c r="Q104" s="99">
        <f t="shared" si="53"/>
        <v>359749357.719203</v>
      </c>
      <c r="R104" s="99">
        <f t="shared" si="53"/>
        <v>324435071.48468161</v>
      </c>
      <c r="S104" s="99">
        <f t="shared" si="53"/>
        <v>1074138057.171319</v>
      </c>
      <c r="T104" s="99">
        <f t="shared" si="53"/>
        <v>235479712.85374033</v>
      </c>
      <c r="U104" s="99">
        <f t="shared" si="53"/>
        <v>210278716.46078217</v>
      </c>
      <c r="V104" s="99">
        <f t="shared" si="53"/>
        <v>409762616.91750133</v>
      </c>
      <c r="W104" s="99">
        <f t="shared" si="53"/>
        <v>393866198.95158839</v>
      </c>
      <c r="X104" s="99">
        <f t="shared" si="53"/>
        <v>1249387245.1836123</v>
      </c>
      <c r="Y104" s="99">
        <f t="shared" si="53"/>
        <v>283155028.77982891</v>
      </c>
      <c r="Z104" s="99">
        <f t="shared" si="53"/>
        <v>253010053.64909303</v>
      </c>
      <c r="AA104" s="99">
        <f t="shared" si="53"/>
        <v>462997805.06887603</v>
      </c>
      <c r="AB104" s="99">
        <f t="shared" si="53"/>
        <v>457832260.04042661</v>
      </c>
      <c r="AC104" s="99">
        <f t="shared" si="53"/>
        <v>1456995147.5382257</v>
      </c>
    </row>
    <row r="105" spans="1:30" hidden="1" outlineLevel="1">
      <c r="B105" s="99" t="s">
        <v>575</v>
      </c>
      <c r="C105" s="99"/>
      <c r="D105" s="99"/>
      <c r="E105" s="99"/>
      <c r="F105" s="99"/>
      <c r="G105" s="99"/>
      <c r="H105" s="99"/>
      <c r="I105" s="189">
        <f>I104/I101</f>
        <v>0.24535842262227325</v>
      </c>
      <c r="J105" s="189"/>
      <c r="K105" s="189"/>
      <c r="L105" s="189"/>
      <c r="M105" s="189"/>
      <c r="N105" s="189">
        <f t="shared" ref="N105:AC105" si="54">N104/N101</f>
        <v>0.2766203338783248</v>
      </c>
      <c r="O105" s="189">
        <f t="shared" si="54"/>
        <v>0.26569452971315477</v>
      </c>
      <c r="P105" s="189">
        <f t="shared" si="54"/>
        <v>0.2635085403975731</v>
      </c>
      <c r="Q105" s="189">
        <f t="shared" si="54"/>
        <v>0.39255859834622919</v>
      </c>
      <c r="R105" s="189">
        <f t="shared" si="54"/>
        <v>0.3243618629976846</v>
      </c>
      <c r="S105" s="189">
        <f t="shared" si="54"/>
        <v>0.31684861555310884</v>
      </c>
      <c r="T105" s="189">
        <f t="shared" si="54"/>
        <v>0.26312095753822318</v>
      </c>
      <c r="U105" s="189">
        <f t="shared" si="54"/>
        <v>0.26102815731303242</v>
      </c>
      <c r="V105" s="189">
        <f t="shared" si="54"/>
        <v>0.40989985163749082</v>
      </c>
      <c r="W105" s="189">
        <f t="shared" si="54"/>
        <v>0.32442467328266938</v>
      </c>
      <c r="X105" s="189">
        <f t="shared" si="54"/>
        <v>0.31919045084759901</v>
      </c>
      <c r="Y105" s="189">
        <f t="shared" si="54"/>
        <v>0.26101804771428533</v>
      </c>
      <c r="Z105" s="189">
        <f t="shared" si="54"/>
        <v>0.25911104621414816</v>
      </c>
      <c r="AA105" s="189">
        <f t="shared" si="54"/>
        <v>0.42164768116609774</v>
      </c>
      <c r="AB105" s="189">
        <f t="shared" si="54"/>
        <v>0.31266926063863415</v>
      </c>
      <c r="AC105" s="189">
        <f t="shared" si="54"/>
        <v>0.3151212038365131</v>
      </c>
    </row>
    <row r="106" spans="1:30" hidden="1" outlineLevel="1">
      <c r="B106" s="99" t="s">
        <v>576</v>
      </c>
      <c r="C106" s="99"/>
      <c r="D106" s="99"/>
      <c r="E106" s="99"/>
      <c r="F106" s="99"/>
      <c r="G106" s="99"/>
      <c r="H106" s="99"/>
      <c r="I106" s="99">
        <f>I53-I120</f>
        <v>384453167.29052383</v>
      </c>
      <c r="J106" s="99"/>
      <c r="K106" s="99"/>
      <c r="L106" s="99"/>
      <c r="M106" s="99"/>
      <c r="N106" s="99">
        <f t="shared" ref="N106:AC106" si="55">N53-N120</f>
        <v>420049370.66908932</v>
      </c>
      <c r="O106" s="99">
        <f t="shared" si="55"/>
        <v>120302616.99921077</v>
      </c>
      <c r="P106" s="99">
        <f t="shared" si="55"/>
        <v>104995458.87907869</v>
      </c>
      <c r="Q106" s="99">
        <f t="shared" si="55"/>
        <v>237752151.75749668</v>
      </c>
      <c r="R106" s="99">
        <f t="shared" si="55"/>
        <v>212482482.31120622</v>
      </c>
      <c r="S106" s="99">
        <f t="shared" si="55"/>
        <v>675532709.94699192</v>
      </c>
      <c r="T106" s="99">
        <f t="shared" si="55"/>
        <v>147040118.58368957</v>
      </c>
      <c r="U106" s="99">
        <f t="shared" si="55"/>
        <v>129273458.86368275</v>
      </c>
      <c r="V106" s="99">
        <f t="shared" si="55"/>
        <v>279608166.76812261</v>
      </c>
      <c r="W106" s="99">
        <f t="shared" si="55"/>
        <v>268744738.20003122</v>
      </c>
      <c r="X106" s="99">
        <f t="shared" si="55"/>
        <v>824666482.41552591</v>
      </c>
      <c r="Y106" s="99">
        <f t="shared" si="55"/>
        <v>186903636.61302996</v>
      </c>
      <c r="Z106" s="99">
        <f t="shared" si="55"/>
        <v>165323630.61748564</v>
      </c>
      <c r="AA106" s="99">
        <f t="shared" si="55"/>
        <v>323409518.76321977</v>
      </c>
      <c r="AB106" s="99">
        <f t="shared" si="55"/>
        <v>320471891.93771577</v>
      </c>
      <c r="AC106" s="99">
        <f t="shared" si="55"/>
        <v>996108677.93145156</v>
      </c>
    </row>
    <row r="107" spans="1:30" hidden="1" outlineLevel="1">
      <c r="B107" s="99" t="s">
        <v>577</v>
      </c>
      <c r="C107" s="99"/>
      <c r="D107" s="99"/>
      <c r="E107" s="99"/>
      <c r="F107" s="99"/>
      <c r="G107" s="99"/>
      <c r="H107" s="99"/>
      <c r="I107" s="189">
        <f>I106/I101</f>
        <v>0.11904500724728773</v>
      </c>
      <c r="J107" s="189"/>
      <c r="K107" s="189"/>
      <c r="L107" s="189"/>
      <c r="M107" s="189"/>
      <c r="N107" s="189">
        <f t="shared" ref="N107:AC107" si="56">N106/N101</f>
        <v>0.13891121987225885</v>
      </c>
      <c r="O107" s="189">
        <f t="shared" si="56"/>
        <v>0.15514549292138197</v>
      </c>
      <c r="P107" s="189">
        <f t="shared" si="56"/>
        <v>0.15042302345336667</v>
      </c>
      <c r="Q107" s="189">
        <f t="shared" si="56"/>
        <v>0.25943521355935684</v>
      </c>
      <c r="R107" s="189">
        <f t="shared" si="56"/>
        <v>0.21243453582696151</v>
      </c>
      <c r="S107" s="189">
        <f t="shared" si="56"/>
        <v>0.19926824347999597</v>
      </c>
      <c r="T107" s="189">
        <f t="shared" si="56"/>
        <v>0.16430008483280578</v>
      </c>
      <c r="U107" s="189">
        <f t="shared" si="56"/>
        <v>0.16047279213330465</v>
      </c>
      <c r="V107" s="189">
        <f t="shared" si="56"/>
        <v>0.27970181110484094</v>
      </c>
      <c r="W107" s="189">
        <f t="shared" si="56"/>
        <v>0.22136305201883597</v>
      </c>
      <c r="X107" s="189">
        <f t="shared" si="56"/>
        <v>0.21068381107286807</v>
      </c>
      <c r="Y107" s="189">
        <f t="shared" si="56"/>
        <v>0.17229156250432309</v>
      </c>
      <c r="Z107" s="189">
        <f t="shared" si="56"/>
        <v>0.16931018461673547</v>
      </c>
      <c r="AA107" s="189">
        <f t="shared" si="56"/>
        <v>0.2945259613774398</v>
      </c>
      <c r="AB107" s="189">
        <f t="shared" si="56"/>
        <v>0.21886118181969536</v>
      </c>
      <c r="AC107" s="189">
        <f t="shared" si="56"/>
        <v>0.21543995274941108</v>
      </c>
    </row>
    <row r="108" spans="1:30" hidden="1" outlineLevel="1">
      <c r="A108" s="102"/>
      <c r="I108" s="9" t="s">
        <v>424</v>
      </c>
      <c r="N108" s="9" t="s">
        <v>578</v>
      </c>
      <c r="O108" s="9">
        <v>212766805.7049714</v>
      </c>
      <c r="P108" s="9">
        <v>190847138.99009565</v>
      </c>
      <c r="Q108" s="9">
        <v>367006741.43192261</v>
      </c>
      <c r="R108" s="9">
        <v>331791435.81431866</v>
      </c>
      <c r="S108" s="9" t="s">
        <v>291</v>
      </c>
      <c r="X108" s="9" t="s">
        <v>527</v>
      </c>
      <c r="AC108" s="9" t="s">
        <v>579</v>
      </c>
      <c r="AD108" s="9" t="s">
        <v>528</v>
      </c>
    </row>
    <row r="109" spans="1:30" hidden="1" outlineLevel="1">
      <c r="I109" s="8">
        <f>(I101)*(1/10^7)</f>
        <v>322.94774571428576</v>
      </c>
      <c r="J109" s="8">
        <f t="shared" ref="J109:M113" si="57">0*(1/10^7)</f>
        <v>0</v>
      </c>
      <c r="K109" s="8">
        <f t="shared" si="57"/>
        <v>0</v>
      </c>
      <c r="L109" s="8">
        <f t="shared" si="57"/>
        <v>0</v>
      </c>
      <c r="M109" s="8">
        <f t="shared" si="57"/>
        <v>0</v>
      </c>
      <c r="N109" s="8">
        <f>(I102)*(1/10^7)</f>
        <v>81.503304563519933</v>
      </c>
      <c r="O109" s="8">
        <f t="shared" ref="O109:R113" si="58">0*(1/10^7)</f>
        <v>0</v>
      </c>
      <c r="P109" s="8">
        <f t="shared" si="58"/>
        <v>0</v>
      </c>
      <c r="Q109" s="8">
        <f t="shared" si="58"/>
        <v>0</v>
      </c>
      <c r="R109" s="8">
        <f t="shared" si="58"/>
        <v>0</v>
      </c>
      <c r="S109" s="8">
        <f>(I104)*(1/10^7)</f>
        <v>79.237949477876157</v>
      </c>
      <c r="X109" s="72">
        <f>S109/I109</f>
        <v>0.24535842262227325</v>
      </c>
      <c r="AC109" s="8">
        <f>(I106)*(1/10^7)</f>
        <v>38.445316729052379</v>
      </c>
      <c r="AD109" s="72">
        <f>AC109/I109</f>
        <v>0.11904500724728771</v>
      </c>
    </row>
    <row r="110" spans="1:30" hidden="1" outlineLevel="1">
      <c r="I110" s="8">
        <f>(N101)*(1/10^7)</f>
        <v>302.38692817999998</v>
      </c>
      <c r="J110" s="8">
        <f t="shared" si="57"/>
        <v>0</v>
      </c>
      <c r="K110" s="8">
        <f t="shared" si="57"/>
        <v>0</v>
      </c>
      <c r="L110" s="8">
        <f t="shared" si="57"/>
        <v>0</v>
      </c>
      <c r="M110" s="8">
        <f t="shared" si="57"/>
        <v>0</v>
      </c>
      <c r="N110" s="8">
        <f>(N102)*(1/10^7)</f>
        <v>86.179990098602545</v>
      </c>
      <c r="O110" s="8">
        <f t="shared" si="58"/>
        <v>0</v>
      </c>
      <c r="P110" s="8">
        <f t="shared" si="58"/>
        <v>0</v>
      </c>
      <c r="Q110" s="8">
        <f t="shared" si="58"/>
        <v>0</v>
      </c>
      <c r="R110" s="8">
        <f t="shared" si="58"/>
        <v>0</v>
      </c>
      <c r="S110" s="8">
        <f>(N104)*(1/10^7)</f>
        <v>83.646373033592624</v>
      </c>
      <c r="X110" s="72">
        <f>S110/I110</f>
        <v>0.2766203338783248</v>
      </c>
      <c r="AC110" s="8">
        <f>(N106)*(1/10^7)</f>
        <v>42.00493706690893</v>
      </c>
      <c r="AD110" s="72">
        <f>AC110/I110</f>
        <v>0.13891121987225888</v>
      </c>
    </row>
    <row r="111" spans="1:30" hidden="1" outlineLevel="1">
      <c r="I111" s="8">
        <f>(S101)*(1/10^7)</f>
        <v>339.00670681367598</v>
      </c>
      <c r="J111" s="8">
        <f t="shared" si="57"/>
        <v>0</v>
      </c>
      <c r="K111" s="8">
        <f t="shared" si="57"/>
        <v>0</v>
      </c>
      <c r="L111" s="8">
        <f t="shared" si="57"/>
        <v>0</v>
      </c>
      <c r="M111" s="8">
        <f t="shared" si="57"/>
        <v>0</v>
      </c>
      <c r="N111" s="8">
        <f>(S102)*(1/10^7)</f>
        <v>110.24381000404381</v>
      </c>
      <c r="O111" s="8">
        <f t="shared" si="58"/>
        <v>0</v>
      </c>
      <c r="P111" s="8">
        <f t="shared" si="58"/>
        <v>0</v>
      </c>
      <c r="Q111" s="8">
        <f t="shared" si="58"/>
        <v>0</v>
      </c>
      <c r="R111" s="8">
        <f t="shared" si="58"/>
        <v>0</v>
      </c>
      <c r="S111" s="8">
        <f>(S104)*(1/10^7)</f>
        <v>107.41380571713189</v>
      </c>
      <c r="X111" s="72">
        <f>S111/I111</f>
        <v>0.31684861555310884</v>
      </c>
      <c r="AC111" s="8">
        <f>(S106)*(1/10^7)</f>
        <v>67.55327099469919</v>
      </c>
      <c r="AD111" s="72">
        <f>AC111/I111</f>
        <v>0.19926824347999597</v>
      </c>
    </row>
    <row r="112" spans="1:30" hidden="1" outlineLevel="1">
      <c r="I112" s="8">
        <f>(X101)*(1/10^7)</f>
        <v>391.42375402080751</v>
      </c>
      <c r="J112" s="8">
        <f t="shared" si="57"/>
        <v>0</v>
      </c>
      <c r="K112" s="8">
        <f t="shared" si="57"/>
        <v>0</v>
      </c>
      <c r="L112" s="8">
        <f t="shared" si="57"/>
        <v>0</v>
      </c>
      <c r="M112" s="8">
        <f t="shared" si="57"/>
        <v>0</v>
      </c>
      <c r="N112" s="8">
        <f>(X102)*(1/10^7)</f>
        <v>128.07273414613033</v>
      </c>
      <c r="O112" s="8">
        <f t="shared" si="58"/>
        <v>0</v>
      </c>
      <c r="P112" s="8">
        <f t="shared" si="58"/>
        <v>0</v>
      </c>
      <c r="Q112" s="8">
        <f t="shared" si="58"/>
        <v>0</v>
      </c>
      <c r="R112" s="8">
        <f t="shared" si="58"/>
        <v>0</v>
      </c>
      <c r="S112" s="8">
        <f>(X104)*(1/10^7)</f>
        <v>124.93872451836123</v>
      </c>
      <c r="X112" s="72">
        <f>S112/I112</f>
        <v>0.31919045084759895</v>
      </c>
      <c r="AC112" s="8">
        <f>(X106)*(1/10^7)</f>
        <v>82.466648241552591</v>
      </c>
      <c r="AD112" s="72">
        <f>AC112/I112</f>
        <v>0.21068381107286807</v>
      </c>
    </row>
    <row r="113" spans="2:30" hidden="1" outlineLevel="1">
      <c r="I113" s="8">
        <f>(AC101)*(1/10^7)</f>
        <v>462.36023783855683</v>
      </c>
      <c r="J113" s="8">
        <f t="shared" si="57"/>
        <v>0</v>
      </c>
      <c r="K113" s="8">
        <f t="shared" si="57"/>
        <v>0</v>
      </c>
      <c r="L113" s="8">
        <f t="shared" si="57"/>
        <v>0</v>
      </c>
      <c r="M113" s="8">
        <f t="shared" si="57"/>
        <v>0</v>
      </c>
      <c r="N113" s="8">
        <f>(AC102)*(1/10^7)</f>
        <v>149.16356555216444</v>
      </c>
      <c r="O113" s="8">
        <f t="shared" si="58"/>
        <v>0</v>
      </c>
      <c r="P113" s="8">
        <f t="shared" si="58"/>
        <v>0</v>
      </c>
      <c r="Q113" s="8">
        <f t="shared" si="58"/>
        <v>0</v>
      </c>
      <c r="R113" s="8">
        <f t="shared" si="58"/>
        <v>0</v>
      </c>
      <c r="S113" s="8">
        <f>(AC104)*(1/10^7)</f>
        <v>145.69951475382257</v>
      </c>
      <c r="X113" s="72">
        <f>S113/I113</f>
        <v>0.31512120383651315</v>
      </c>
      <c r="AC113" s="8">
        <f>(AC106)*(1/10^7)</f>
        <v>99.610867793145147</v>
      </c>
      <c r="AD113" s="72">
        <f>AC113/I113</f>
        <v>0.21543995274941108</v>
      </c>
    </row>
    <row r="114" spans="2:30" hidden="1" outlineLevel="1"/>
    <row r="115" spans="2:30" hidden="1" outlineLevel="1">
      <c r="B115" s="99" t="s">
        <v>532</v>
      </c>
      <c r="C115" s="99"/>
      <c r="D115" s="99"/>
      <c r="E115" s="99"/>
      <c r="F115" s="99"/>
      <c r="G115" s="99"/>
      <c r="H115" s="99"/>
      <c r="I115" s="99">
        <f>I96+I97</f>
        <v>4881291387.7296696</v>
      </c>
      <c r="J115" s="99"/>
      <c r="K115" s="99"/>
      <c r="L115" s="99"/>
      <c r="M115" s="99"/>
      <c r="N115" s="99">
        <f t="shared" ref="N115:AC115" si="59">N96+N97</f>
        <v>10081707165.241852</v>
      </c>
      <c r="O115" s="99">
        <f t="shared" si="59"/>
        <v>2560909281.4682479</v>
      </c>
      <c r="P115" s="99">
        <f t="shared" si="59"/>
        <v>2562897168.0350313</v>
      </c>
      <c r="Q115" s="99">
        <f t="shared" si="59"/>
        <v>2633007555.9663906</v>
      </c>
      <c r="R115" s="99">
        <f t="shared" si="59"/>
        <v>2637144939.9204001</v>
      </c>
      <c r="S115" s="99">
        <f t="shared" si="59"/>
        <v>10393958945.390072</v>
      </c>
      <c r="T115" s="99">
        <f t="shared" si="59"/>
        <v>2639290755.0490637</v>
      </c>
      <c r="U115" s="99">
        <f t="shared" si="59"/>
        <v>2641374126.3171835</v>
      </c>
      <c r="V115" s="99">
        <f t="shared" si="59"/>
        <v>2711801860.4709892</v>
      </c>
      <c r="W115" s="99">
        <f t="shared" si="59"/>
        <v>2716036793.4473014</v>
      </c>
      <c r="X115" s="99">
        <f t="shared" si="59"/>
        <v>10708503535.284538</v>
      </c>
      <c r="Y115" s="99">
        <f t="shared" si="59"/>
        <v>2718280645.3435917</v>
      </c>
      <c r="Z115" s="99">
        <f t="shared" si="59"/>
        <v>2720462543.5631838</v>
      </c>
      <c r="AA115" s="99">
        <f t="shared" si="59"/>
        <v>2791215142.2374754</v>
      </c>
      <c r="AB115" s="99">
        <f t="shared" si="59"/>
        <v>2795550719.1226201</v>
      </c>
      <c r="AC115" s="99">
        <f t="shared" si="59"/>
        <v>11025509050.26687</v>
      </c>
    </row>
    <row r="116" spans="2:30" hidden="1" outlineLevel="1">
      <c r="B116" s="99" t="s">
        <v>533</v>
      </c>
      <c r="C116" s="99"/>
      <c r="D116" s="99"/>
      <c r="E116" s="99"/>
      <c r="F116" s="99"/>
      <c r="G116" s="99"/>
      <c r="H116" s="99"/>
      <c r="I116" s="99">
        <f>I115*I117</f>
        <v>1076074986.1026762</v>
      </c>
      <c r="J116" s="99"/>
      <c r="K116" s="99"/>
      <c r="L116" s="99"/>
      <c r="M116" s="99"/>
      <c r="N116" s="99">
        <f t="shared" ref="N116:AC116" si="60">N115*N117</f>
        <v>2409810713.4842658</v>
      </c>
      <c r="O116" s="99">
        <f t="shared" si="60"/>
        <v>827834011.47637033</v>
      </c>
      <c r="P116" s="99">
        <f t="shared" si="60"/>
        <v>799910920.81436241</v>
      </c>
      <c r="Q116" s="99">
        <f t="shared" si="60"/>
        <v>466918117.23790455</v>
      </c>
      <c r="R116" s="99">
        <f t="shared" si="60"/>
        <v>855275670.60184908</v>
      </c>
      <c r="S116" s="99">
        <f t="shared" si="60"/>
        <v>2949938720.130487</v>
      </c>
      <c r="T116" s="99">
        <f t="shared" si="60"/>
        <v>857415753.44111776</v>
      </c>
      <c r="U116" s="99">
        <f t="shared" si="60"/>
        <v>808000585.62831402</v>
      </c>
      <c r="V116" s="99">
        <f t="shared" si="60"/>
        <v>605605179.10485828</v>
      </c>
      <c r="W116" s="99">
        <f t="shared" si="60"/>
        <v>845754468.0776335</v>
      </c>
      <c r="X116" s="99">
        <f t="shared" si="60"/>
        <v>3116775986.2519236</v>
      </c>
      <c r="Y116" s="99">
        <f t="shared" si="60"/>
        <v>847295244.88177419</v>
      </c>
      <c r="Z116" s="99">
        <f t="shared" si="60"/>
        <v>849762835.61092412</v>
      </c>
      <c r="AA116" s="99">
        <f t="shared" si="60"/>
        <v>628980836.74143505</v>
      </c>
      <c r="AB116" s="99">
        <f t="shared" si="60"/>
        <v>875403014.13533902</v>
      </c>
      <c r="AC116" s="99">
        <f t="shared" si="60"/>
        <v>3201441931.369472</v>
      </c>
    </row>
    <row r="117" spans="2:30" hidden="1" outlineLevel="1">
      <c r="B117" s="99" t="s">
        <v>534</v>
      </c>
      <c r="C117" s="99"/>
      <c r="D117" s="99"/>
      <c r="E117" s="99"/>
      <c r="F117" s="99"/>
      <c r="G117" s="99"/>
      <c r="H117" s="99"/>
      <c r="I117" s="189">
        <f>I57</f>
        <v>0.22044883221019262</v>
      </c>
      <c r="J117" s="189"/>
      <c r="K117" s="189"/>
      <c r="L117" s="189"/>
      <c r="M117" s="189"/>
      <c r="N117" s="189">
        <f t="shared" ref="N117:AC117" si="61">N57</f>
        <v>0.23902804098421326</v>
      </c>
      <c r="O117" s="189">
        <f t="shared" si="61"/>
        <v>0.32325784340230423</v>
      </c>
      <c r="P117" s="189">
        <f t="shared" si="61"/>
        <v>0.31211198435544441</v>
      </c>
      <c r="Q117" s="189">
        <f t="shared" si="61"/>
        <v>0.17733261576856052</v>
      </c>
      <c r="R117" s="189">
        <f t="shared" si="61"/>
        <v>0.3243187955485165</v>
      </c>
      <c r="S117" s="189">
        <f t="shared" si="61"/>
        <v>0.28381281238741507</v>
      </c>
      <c r="T117" s="189">
        <f t="shared" si="61"/>
        <v>0.3248659708297954</v>
      </c>
      <c r="U117" s="189">
        <f t="shared" si="61"/>
        <v>0.30590160537193323</v>
      </c>
      <c r="V117" s="189">
        <f t="shared" si="61"/>
        <v>0.22332206048404879</v>
      </c>
      <c r="W117" s="189">
        <f t="shared" si="61"/>
        <v>0.31139286114168152</v>
      </c>
      <c r="X117" s="189">
        <f t="shared" si="61"/>
        <v>0.29105616634314413</v>
      </c>
      <c r="Y117" s="189">
        <f t="shared" si="61"/>
        <v>0.31170263686098376</v>
      </c>
      <c r="Z117" s="189">
        <f t="shared" si="61"/>
        <v>0.31235968957614435</v>
      </c>
      <c r="AA117" s="189">
        <f t="shared" si="61"/>
        <v>0.22534301538549106</v>
      </c>
      <c r="AB117" s="189">
        <f t="shared" si="61"/>
        <v>0.31314152454729316</v>
      </c>
      <c r="AC117" s="189">
        <f t="shared" si="61"/>
        <v>0.29036681361138439</v>
      </c>
    </row>
    <row r="118" spans="2:30" hidden="1" outlineLevel="1">
      <c r="B118" s="99" t="s">
        <v>569</v>
      </c>
      <c r="C118" s="99"/>
      <c r="D118" s="99"/>
      <c r="E118" s="99"/>
      <c r="F118" s="99"/>
      <c r="G118" s="99"/>
      <c r="H118" s="99"/>
      <c r="I118" s="99">
        <f>I116-I40-SUM(I37:I39)/2</f>
        <v>925786730.70413566</v>
      </c>
      <c r="J118" s="99"/>
      <c r="K118" s="99"/>
      <c r="L118" s="99"/>
      <c r="M118" s="99"/>
      <c r="N118" s="99">
        <f t="shared" ref="N118:AC118" si="62">N116-N40-SUM(N37:N39)/2</f>
        <v>2124860674.4075224</v>
      </c>
      <c r="O118" s="99">
        <f t="shared" si="62"/>
        <v>755268087.58898628</v>
      </c>
      <c r="P118" s="99">
        <f t="shared" si="62"/>
        <v>727168323.20677996</v>
      </c>
      <c r="Q118" s="99">
        <f t="shared" si="62"/>
        <v>392280942.46009398</v>
      </c>
      <c r="R118" s="99">
        <f t="shared" si="62"/>
        <v>780391241.26735592</v>
      </c>
      <c r="S118" s="99">
        <f t="shared" si="62"/>
        <v>2655108594.5232172</v>
      </c>
      <c r="T118" s="99">
        <f t="shared" si="62"/>
        <v>782339807.05352676</v>
      </c>
      <c r="U118" s="99">
        <f t="shared" si="62"/>
        <v>732730885.61828935</v>
      </c>
      <c r="V118" s="99">
        <f t="shared" si="62"/>
        <v>528423419.16550267</v>
      </c>
      <c r="W118" s="99">
        <f t="shared" si="62"/>
        <v>768307558.38185191</v>
      </c>
      <c r="X118" s="99">
        <f t="shared" si="62"/>
        <v>2811801670.2191706</v>
      </c>
      <c r="Y118" s="99">
        <f t="shared" si="62"/>
        <v>769638500.67423689</v>
      </c>
      <c r="Z118" s="99">
        <f t="shared" si="62"/>
        <v>771893588.00933611</v>
      </c>
      <c r="AA118" s="99">
        <f t="shared" si="62"/>
        <v>549180336.83058619</v>
      </c>
      <c r="AB118" s="99">
        <f t="shared" si="62"/>
        <v>795317718.93733323</v>
      </c>
      <c r="AC118" s="99">
        <f t="shared" si="62"/>
        <v>2886030144.4514918</v>
      </c>
    </row>
    <row r="119" spans="2:30" hidden="1" outlineLevel="1">
      <c r="B119" s="99" t="s">
        <v>570</v>
      </c>
      <c r="C119" s="99"/>
      <c r="D119" s="99"/>
      <c r="E119" s="99"/>
      <c r="F119" s="99"/>
      <c r="G119" s="99"/>
      <c r="H119" s="99"/>
      <c r="I119" s="189">
        <f>I118/I115</f>
        <v>0.18966020611499021</v>
      </c>
      <c r="J119" s="189"/>
      <c r="K119" s="189"/>
      <c r="L119" s="189"/>
      <c r="M119" s="189"/>
      <c r="N119" s="189">
        <f t="shared" ref="N119:AC119" si="63">N118/N115</f>
        <v>0.21076397474956304</v>
      </c>
      <c r="O119" s="189">
        <f t="shared" si="63"/>
        <v>0.29492184399283677</v>
      </c>
      <c r="P119" s="189">
        <f t="shared" si="63"/>
        <v>0.28372902833409375</v>
      </c>
      <c r="Q119" s="189">
        <f t="shared" si="63"/>
        <v>0.14898587798245624</v>
      </c>
      <c r="R119" s="189">
        <f t="shared" si="63"/>
        <v>0.29592277218214308</v>
      </c>
      <c r="S119" s="189">
        <f t="shared" si="63"/>
        <v>0.25544728514641774</v>
      </c>
      <c r="T119" s="189">
        <f t="shared" si="63"/>
        <v>0.29642047036950397</v>
      </c>
      <c r="U119" s="189">
        <f t="shared" si="63"/>
        <v>0.27740518782165924</v>
      </c>
      <c r="V119" s="189">
        <f t="shared" si="63"/>
        <v>0.19486063007336585</v>
      </c>
      <c r="W119" s="189">
        <f t="shared" si="63"/>
        <v>0.28287818494781347</v>
      </c>
      <c r="X119" s="189">
        <f t="shared" si="63"/>
        <v>0.26257652723877606</v>
      </c>
      <c r="Y119" s="189">
        <f t="shared" si="63"/>
        <v>0.28313430476453039</v>
      </c>
      <c r="Z119" s="189">
        <f t="shared" si="63"/>
        <v>0.28373615723388423</v>
      </c>
      <c r="AA119" s="189">
        <f t="shared" si="63"/>
        <v>0.19675313755655391</v>
      </c>
      <c r="AB119" s="189">
        <f t="shared" si="63"/>
        <v>0.2844941118388804</v>
      </c>
      <c r="AC119" s="189">
        <f t="shared" si="63"/>
        <v>0.26175935562645392</v>
      </c>
    </row>
    <row r="120" spans="2:30" hidden="1" outlineLevel="1">
      <c r="B120" s="99" t="s">
        <v>573</v>
      </c>
      <c r="C120" s="99"/>
      <c r="D120" s="99"/>
      <c r="E120" s="99"/>
      <c r="F120" s="99"/>
      <c r="G120" s="99"/>
      <c r="H120" s="99"/>
      <c r="I120" s="99">
        <f>(I118-(SUM(I46:I47)*0.6))*(1-$C$51)</f>
        <v>380039597.60726911</v>
      </c>
      <c r="J120" s="99">
        <f t="shared" ref="J120:AC120" si="64">(J118-(SUM(J46:J47)*0.6))*(1-$C$51)</f>
        <v>-88481465.627837151</v>
      </c>
      <c r="K120" s="99">
        <f t="shared" si="64"/>
        <v>-85346684.248360187</v>
      </c>
      <c r="L120" s="99">
        <f t="shared" si="64"/>
        <v>-82292195.585474163</v>
      </c>
      <c r="M120" s="99">
        <f t="shared" si="64"/>
        <v>-52694312.650254861</v>
      </c>
      <c r="N120" s="99">
        <f t="shared" si="64"/>
        <v>1281218584.5472226</v>
      </c>
      <c r="O120" s="99">
        <f t="shared" si="64"/>
        <v>514369018.88822144</v>
      </c>
      <c r="P120" s="99">
        <f t="shared" si="64"/>
        <v>495181811.41563648</v>
      </c>
      <c r="Q120" s="99">
        <f t="shared" si="64"/>
        <v>246371390.30721405</v>
      </c>
      <c r="R120" s="99">
        <f t="shared" si="64"/>
        <v>538528343.31919086</v>
      </c>
      <c r="S120" s="99">
        <f t="shared" si="64"/>
        <v>1794450563.9302635</v>
      </c>
      <c r="T120" s="99">
        <f t="shared" si="64"/>
        <v>541670851.80100739</v>
      </c>
      <c r="U120" s="99">
        <f t="shared" si="64"/>
        <v>506185364.71228528</v>
      </c>
      <c r="V120" s="99">
        <f t="shared" si="64"/>
        <v>354893445.35468012</v>
      </c>
      <c r="W120" s="99">
        <f t="shared" si="64"/>
        <v>535946538.22397619</v>
      </c>
      <c r="X120" s="99">
        <f t="shared" si="64"/>
        <v>1938696200.091949</v>
      </c>
      <c r="Y120" s="99">
        <f t="shared" si="64"/>
        <v>538448582.92015743</v>
      </c>
      <c r="Z120" s="99">
        <f t="shared" si="64"/>
        <v>541602283.11519015</v>
      </c>
      <c r="AA120" s="99">
        <f t="shared" si="64"/>
        <v>376374037.89559728</v>
      </c>
      <c r="AB120" s="99">
        <f t="shared" si="64"/>
        <v>561950266.70500302</v>
      </c>
      <c r="AC120" s="99">
        <f t="shared" si="64"/>
        <v>2018375170.6359475</v>
      </c>
    </row>
    <row r="121" spans="2:30" hidden="1" outlineLevel="1">
      <c r="B121" s="99" t="s">
        <v>571</v>
      </c>
      <c r="C121" s="99"/>
      <c r="D121" s="99"/>
      <c r="E121" s="99"/>
      <c r="F121" s="99"/>
      <c r="G121" s="99"/>
      <c r="H121" s="99"/>
      <c r="I121" s="189">
        <f>I120/I115</f>
        <v>7.78563636996948E-2</v>
      </c>
      <c r="J121" s="189"/>
      <c r="K121" s="189"/>
      <c r="L121" s="189"/>
      <c r="M121" s="189"/>
      <c r="N121" s="189">
        <f t="shared" ref="N121:AC121" si="65">N120/N115</f>
        <v>0.12708349524021184</v>
      </c>
      <c r="O121" s="189">
        <f t="shared" si="65"/>
        <v>0.20085405703763076</v>
      </c>
      <c r="P121" s="189">
        <f t="shared" si="65"/>
        <v>0.19321173615221227</v>
      </c>
      <c r="Q121" s="189">
        <f t="shared" si="65"/>
        <v>9.357033167221146E-2</v>
      </c>
      <c r="R121" s="189">
        <f t="shared" si="65"/>
        <v>0.20420885297849645</v>
      </c>
      <c r="S121" s="189">
        <f t="shared" si="65"/>
        <v>0.1726436070565911</v>
      </c>
      <c r="T121" s="189">
        <f t="shared" si="65"/>
        <v>0.20523348962776095</v>
      </c>
      <c r="U121" s="189">
        <f t="shared" si="65"/>
        <v>0.19163713298655261</v>
      </c>
      <c r="V121" s="189">
        <f t="shared" si="65"/>
        <v>0.13086997635330253</v>
      </c>
      <c r="W121" s="189">
        <f t="shared" si="65"/>
        <v>0.19732668552833985</v>
      </c>
      <c r="X121" s="189">
        <f t="shared" si="65"/>
        <v>0.1810426819866979</v>
      </c>
      <c r="Y121" s="189">
        <f t="shared" si="65"/>
        <v>0.19808424999917451</v>
      </c>
      <c r="Z121" s="189">
        <f t="shared" si="65"/>
        <v>0.19908463154424286</v>
      </c>
      <c r="AA121" s="189">
        <f t="shared" si="65"/>
        <v>0.13484236030401112</v>
      </c>
      <c r="AB121" s="189">
        <f t="shared" si="65"/>
        <v>0.20101594396447595</v>
      </c>
      <c r="AC121" s="189">
        <f t="shared" si="65"/>
        <v>0.18306412533279751</v>
      </c>
    </row>
    <row r="122" spans="2:30" hidden="1" outlineLevel="1">
      <c r="I122" s="9" t="s">
        <v>424</v>
      </c>
      <c r="N122" s="9" t="s">
        <v>578</v>
      </c>
      <c r="O122" s="9">
        <v>212766805.7049714</v>
      </c>
      <c r="P122" s="9">
        <v>190847138.99009565</v>
      </c>
      <c r="Q122" s="9">
        <v>367006741.43192261</v>
      </c>
      <c r="R122" s="9">
        <v>331791435.81431866</v>
      </c>
      <c r="S122" s="9" t="s">
        <v>291</v>
      </c>
      <c r="X122" s="9" t="s">
        <v>527</v>
      </c>
      <c r="AC122" s="9" t="s">
        <v>579</v>
      </c>
      <c r="AD122" s="9" t="s">
        <v>528</v>
      </c>
    </row>
    <row r="123" spans="2:30" hidden="1" outlineLevel="1">
      <c r="C123" s="9">
        <f>1/10^7</f>
        <v>9.9999999999999995E-8</v>
      </c>
      <c r="I123" s="8">
        <f>(I115)*(1/10^7)</f>
        <v>488.12913877296694</v>
      </c>
      <c r="J123" s="8">
        <f t="shared" ref="J123:M127" si="66">0*(1/10^7)</f>
        <v>0</v>
      </c>
      <c r="K123" s="8">
        <f t="shared" si="66"/>
        <v>0</v>
      </c>
      <c r="L123" s="8">
        <f t="shared" si="66"/>
        <v>0</v>
      </c>
      <c r="M123" s="8">
        <f t="shared" si="66"/>
        <v>0</v>
      </c>
      <c r="N123" s="8">
        <f>(I116)*(1/10^7)</f>
        <v>107.60749861026761</v>
      </c>
      <c r="O123" s="8">
        <f t="shared" ref="O123:R127" si="67">0*(1/10^7)</f>
        <v>0</v>
      </c>
      <c r="P123" s="8">
        <f t="shared" si="67"/>
        <v>0</v>
      </c>
      <c r="Q123" s="8">
        <f t="shared" si="67"/>
        <v>0</v>
      </c>
      <c r="R123" s="8">
        <f t="shared" si="67"/>
        <v>0</v>
      </c>
      <c r="S123" s="8">
        <f>(I118)*(1/10^7)</f>
        <v>92.578673070413558</v>
      </c>
      <c r="X123" s="72">
        <f>N123/I123</f>
        <v>0.2204488322101926</v>
      </c>
      <c r="AC123" s="8">
        <f>(I120)*(1/10^7)</f>
        <v>38.003959760726907</v>
      </c>
      <c r="AD123" s="72">
        <f>AC123/I123</f>
        <v>7.78563636996948E-2</v>
      </c>
    </row>
    <row r="124" spans="2:30" hidden="1" outlineLevel="1">
      <c r="I124" s="8">
        <f>(N115)*(1/10^7)</f>
        <v>1008.1707165241851</v>
      </c>
      <c r="J124" s="8">
        <f t="shared" si="66"/>
        <v>0</v>
      </c>
      <c r="K124" s="8">
        <f t="shared" si="66"/>
        <v>0</v>
      </c>
      <c r="L124" s="8">
        <f t="shared" si="66"/>
        <v>0</v>
      </c>
      <c r="M124" s="8">
        <f t="shared" si="66"/>
        <v>0</v>
      </c>
      <c r="N124" s="8">
        <f>(N116)*(1/10^7)</f>
        <v>240.98107134842658</v>
      </c>
      <c r="O124" s="8">
        <f t="shared" si="67"/>
        <v>0</v>
      </c>
      <c r="P124" s="8">
        <f t="shared" si="67"/>
        <v>0</v>
      </c>
      <c r="Q124" s="8">
        <f t="shared" si="67"/>
        <v>0</v>
      </c>
      <c r="R124" s="8">
        <f t="shared" si="67"/>
        <v>0</v>
      </c>
      <c r="S124" s="8">
        <f>(N118)*(1/10^7)</f>
        <v>212.48606744075224</v>
      </c>
      <c r="X124" s="72">
        <f>N124/I124</f>
        <v>0.23902804098421329</v>
      </c>
      <c r="AC124" s="8">
        <f>(N120)*(1/10^7)</f>
        <v>128.12185845472226</v>
      </c>
      <c r="AD124" s="72">
        <f>AC124/I124</f>
        <v>0.12708349524021187</v>
      </c>
    </row>
    <row r="125" spans="2:30" hidden="1" outlineLevel="1">
      <c r="I125" s="8">
        <f>(S115)*(1/10^7)</f>
        <v>1039.395894539007</v>
      </c>
      <c r="J125" s="8">
        <f t="shared" si="66"/>
        <v>0</v>
      </c>
      <c r="K125" s="8">
        <f t="shared" si="66"/>
        <v>0</v>
      </c>
      <c r="L125" s="8">
        <f t="shared" si="66"/>
        <v>0</v>
      </c>
      <c r="M125" s="8">
        <f t="shared" si="66"/>
        <v>0</v>
      </c>
      <c r="N125" s="8">
        <f>(S116)*(1/10^7)</f>
        <v>294.9938720130487</v>
      </c>
      <c r="O125" s="8">
        <f t="shared" si="67"/>
        <v>0</v>
      </c>
      <c r="P125" s="8">
        <f t="shared" si="67"/>
        <v>0</v>
      </c>
      <c r="Q125" s="8">
        <f t="shared" si="67"/>
        <v>0</v>
      </c>
      <c r="R125" s="8">
        <f t="shared" si="67"/>
        <v>0</v>
      </c>
      <c r="S125" s="8">
        <f>(S118)*(1/10^7)</f>
        <v>265.51085945232171</v>
      </c>
      <c r="X125" s="72">
        <f>N125/I125</f>
        <v>0.28381281238741513</v>
      </c>
      <c r="AC125" s="8">
        <f>(S120)*(1/10^7)</f>
        <v>179.44505639302633</v>
      </c>
      <c r="AD125" s="72">
        <f>AC125/I125</f>
        <v>0.1726436070565911</v>
      </c>
    </row>
    <row r="126" spans="2:30" hidden="1" outlineLevel="1">
      <c r="I126" s="8">
        <f>(X115)*(1/10^7)</f>
        <v>1070.8503535284538</v>
      </c>
      <c r="J126" s="8">
        <f t="shared" si="66"/>
        <v>0</v>
      </c>
      <c r="K126" s="8">
        <f t="shared" si="66"/>
        <v>0</v>
      </c>
      <c r="L126" s="8">
        <f t="shared" si="66"/>
        <v>0</v>
      </c>
      <c r="M126" s="8">
        <f t="shared" si="66"/>
        <v>0</v>
      </c>
      <c r="N126" s="8">
        <f>(X116)*(1/10^7)</f>
        <v>311.67759862519233</v>
      </c>
      <c r="O126" s="8">
        <f t="shared" si="67"/>
        <v>0</v>
      </c>
      <c r="P126" s="8">
        <f t="shared" si="67"/>
        <v>0</v>
      </c>
      <c r="Q126" s="8">
        <f t="shared" si="67"/>
        <v>0</v>
      </c>
      <c r="R126" s="8">
        <f t="shared" si="67"/>
        <v>0</v>
      </c>
      <c r="S126" s="8">
        <f>(X118)*(1/10^7)</f>
        <v>281.18016702191704</v>
      </c>
      <c r="X126" s="72">
        <f>N126/I126</f>
        <v>0.29105616634314413</v>
      </c>
      <c r="AC126" s="8">
        <f>(X120)*(1/10^7)</f>
        <v>193.8696200091949</v>
      </c>
      <c r="AD126" s="72">
        <f>AC126/I126</f>
        <v>0.18104268198669793</v>
      </c>
    </row>
    <row r="127" spans="2:30" hidden="1" outlineLevel="1">
      <c r="I127" s="8">
        <f>(AC115)*(1/10^7)</f>
        <v>1102.5509050266869</v>
      </c>
      <c r="J127" s="8">
        <f t="shared" si="66"/>
        <v>0</v>
      </c>
      <c r="K127" s="8">
        <f t="shared" si="66"/>
        <v>0</v>
      </c>
      <c r="L127" s="8">
        <f t="shared" si="66"/>
        <v>0</v>
      </c>
      <c r="M127" s="8">
        <f t="shared" si="66"/>
        <v>0</v>
      </c>
      <c r="N127" s="8">
        <f>(AC116)*(1/10^7)</f>
        <v>320.14419313694719</v>
      </c>
      <c r="O127" s="8">
        <f t="shared" si="67"/>
        <v>0</v>
      </c>
      <c r="P127" s="8">
        <f t="shared" si="67"/>
        <v>0</v>
      </c>
      <c r="Q127" s="8">
        <f t="shared" si="67"/>
        <v>0</v>
      </c>
      <c r="R127" s="8">
        <f t="shared" si="67"/>
        <v>0</v>
      </c>
      <c r="S127" s="8">
        <f>(AC118)*(1/10^7)</f>
        <v>288.60301444514914</v>
      </c>
      <c r="X127" s="72">
        <f>N127/I127</f>
        <v>0.29036681361138439</v>
      </c>
      <c r="AC127" s="8">
        <f>(AC120)*(1/10^7)</f>
        <v>201.83751706359473</v>
      </c>
      <c r="AD127" s="72">
        <f>AC127/I127</f>
        <v>0.18306412533279751</v>
      </c>
    </row>
    <row r="128" spans="2:30" hidden="1" outlineLevel="1">
      <c r="B128" s="9">
        <f>1/10^7</f>
        <v>9.9999999999999995E-8</v>
      </c>
    </row>
    <row r="129" spans="4:29" hidden="1" outlineLevel="1">
      <c r="D129" s="9" t="str">
        <f>B120</f>
        <v>Ethanol PAT</v>
      </c>
      <c r="I129" s="8">
        <f>(I120)*(1/10^7)</f>
        <v>38.003959760726907</v>
      </c>
      <c r="J129" s="8">
        <f t="shared" ref="J129:M131" si="68">0*(1/10^7)</f>
        <v>0</v>
      </c>
      <c r="K129" s="8">
        <f t="shared" si="68"/>
        <v>0</v>
      </c>
      <c r="L129" s="8">
        <f t="shared" si="68"/>
        <v>0</v>
      </c>
      <c r="M129" s="8">
        <f t="shared" si="68"/>
        <v>0</v>
      </c>
      <c r="N129" s="8">
        <f t="shared" ref="N129:AC129" si="69">(N120)*(1/10^7)</f>
        <v>128.12185845472226</v>
      </c>
      <c r="O129" s="8">
        <f t="shared" si="69"/>
        <v>51.436901888822142</v>
      </c>
      <c r="P129" s="8">
        <f t="shared" si="69"/>
        <v>49.518181141563645</v>
      </c>
      <c r="Q129" s="8">
        <f t="shared" si="69"/>
        <v>24.637139030721404</v>
      </c>
      <c r="R129" s="8">
        <f t="shared" si="69"/>
        <v>53.852834331919084</v>
      </c>
      <c r="S129" s="8">
        <f t="shared" si="69"/>
        <v>179.44505639302633</v>
      </c>
      <c r="T129" s="8">
        <f t="shared" si="69"/>
        <v>54.167085180100734</v>
      </c>
      <c r="U129" s="8">
        <f t="shared" si="69"/>
        <v>50.618536471228524</v>
      </c>
      <c r="V129" s="8">
        <f t="shared" si="69"/>
        <v>35.489344535468014</v>
      </c>
      <c r="W129" s="8">
        <f t="shared" si="69"/>
        <v>53.594653822397618</v>
      </c>
      <c r="X129" s="8">
        <f t="shared" si="69"/>
        <v>193.8696200091949</v>
      </c>
      <c r="Y129" s="8">
        <f t="shared" si="69"/>
        <v>53.844858292015743</v>
      </c>
      <c r="Z129" s="8">
        <f t="shared" si="69"/>
        <v>54.160228311519013</v>
      </c>
      <c r="AA129" s="8">
        <f t="shared" si="69"/>
        <v>37.637403789559727</v>
      </c>
      <c r="AB129" s="8">
        <f t="shared" si="69"/>
        <v>56.195026670500297</v>
      </c>
      <c r="AC129" s="8">
        <f t="shared" si="69"/>
        <v>201.83751706359473</v>
      </c>
    </row>
    <row r="130" spans="4:29" hidden="1" outlineLevel="1">
      <c r="D130" s="9" t="str">
        <f>B106</f>
        <v>Sugar PAT</v>
      </c>
      <c r="I130" s="8">
        <f>(I106)*(1/10^7)</f>
        <v>38.445316729052379</v>
      </c>
      <c r="J130" s="8">
        <f t="shared" si="68"/>
        <v>0</v>
      </c>
      <c r="K130" s="8">
        <f t="shared" si="68"/>
        <v>0</v>
      </c>
      <c r="L130" s="8">
        <f t="shared" si="68"/>
        <v>0</v>
      </c>
      <c r="M130" s="8">
        <f t="shared" si="68"/>
        <v>0</v>
      </c>
      <c r="N130" s="8">
        <f t="shared" ref="N130:AC130" si="70">(N106)*(1/10^7)</f>
        <v>42.00493706690893</v>
      </c>
      <c r="O130" s="8">
        <f t="shared" si="70"/>
        <v>12.030261699921077</v>
      </c>
      <c r="P130" s="8">
        <f t="shared" si="70"/>
        <v>10.499545887907868</v>
      </c>
      <c r="Q130" s="8">
        <f t="shared" si="70"/>
        <v>23.775215175749668</v>
      </c>
      <c r="R130" s="8">
        <f t="shared" si="70"/>
        <v>21.24824823112062</v>
      </c>
      <c r="S130" s="8">
        <f t="shared" si="70"/>
        <v>67.55327099469919</v>
      </c>
      <c r="T130" s="8">
        <f t="shared" si="70"/>
        <v>14.704011858368956</v>
      </c>
      <c r="U130" s="8">
        <f t="shared" si="70"/>
        <v>12.927345886368274</v>
      </c>
      <c r="V130" s="8">
        <f t="shared" si="70"/>
        <v>27.960816676812261</v>
      </c>
      <c r="W130" s="8">
        <f t="shared" si="70"/>
        <v>26.874473820003121</v>
      </c>
      <c r="X130" s="8">
        <f t="shared" si="70"/>
        <v>82.466648241552591</v>
      </c>
      <c r="Y130" s="8">
        <f t="shared" si="70"/>
        <v>18.690363661302996</v>
      </c>
      <c r="Z130" s="8">
        <f t="shared" si="70"/>
        <v>16.532363061748562</v>
      </c>
      <c r="AA130" s="8">
        <f t="shared" si="70"/>
        <v>32.340951876321974</v>
      </c>
      <c r="AB130" s="8">
        <f t="shared" si="70"/>
        <v>32.047189193771572</v>
      </c>
      <c r="AC130" s="8">
        <f t="shared" si="70"/>
        <v>99.610867793145147</v>
      </c>
    </row>
    <row r="131" spans="4:29" hidden="1" outlineLevel="1">
      <c r="D131" s="9" t="s">
        <v>162</v>
      </c>
      <c r="I131" s="8">
        <f>(SUM(I129:I130))</f>
        <v>76.449276489779294</v>
      </c>
      <c r="J131" s="8">
        <f t="shared" si="68"/>
        <v>0</v>
      </c>
      <c r="K131" s="8">
        <f t="shared" si="68"/>
        <v>0</v>
      </c>
      <c r="L131" s="8">
        <f t="shared" si="68"/>
        <v>0</v>
      </c>
      <c r="M131" s="8">
        <f t="shared" si="68"/>
        <v>0</v>
      </c>
      <c r="N131" s="8">
        <f t="shared" ref="N131:AC131" si="71">(SUM(N129:N130))</f>
        <v>170.12679552163118</v>
      </c>
      <c r="O131" s="8">
        <f t="shared" si="71"/>
        <v>63.467163588743219</v>
      </c>
      <c r="P131" s="8">
        <f t="shared" si="71"/>
        <v>60.017727029471516</v>
      </c>
      <c r="Q131" s="8">
        <f t="shared" si="71"/>
        <v>48.412354206471072</v>
      </c>
      <c r="R131" s="8">
        <f t="shared" si="71"/>
        <v>75.101082563039711</v>
      </c>
      <c r="S131" s="8">
        <f t="shared" si="71"/>
        <v>246.99832738772551</v>
      </c>
      <c r="T131" s="8">
        <f t="shared" si="71"/>
        <v>68.871097038469685</v>
      </c>
      <c r="U131" s="8">
        <f t="shared" si="71"/>
        <v>63.545882357596795</v>
      </c>
      <c r="V131" s="8">
        <f t="shared" si="71"/>
        <v>63.450161212280278</v>
      </c>
      <c r="W131" s="8">
        <f t="shared" si="71"/>
        <v>80.469127642400736</v>
      </c>
      <c r="X131" s="8">
        <f t="shared" si="71"/>
        <v>276.33626825074748</v>
      </c>
      <c r="Y131" s="8">
        <f t="shared" si="71"/>
        <v>72.535221953318739</v>
      </c>
      <c r="Z131" s="8">
        <f t="shared" si="71"/>
        <v>70.692591373267575</v>
      </c>
      <c r="AA131" s="8">
        <f t="shared" si="71"/>
        <v>69.978355665881708</v>
      </c>
      <c r="AB131" s="8">
        <f t="shared" si="71"/>
        <v>88.24221586427187</v>
      </c>
      <c r="AC131" s="8">
        <f t="shared" si="71"/>
        <v>301.44838485673989</v>
      </c>
    </row>
    <row r="132" spans="4:29" hidden="1" outlineLevel="1"/>
    <row r="133" spans="4:29" collapsed="1"/>
  </sheetData>
  <pageMargins left="0.7" right="0.7" top="0.75" bottom="0.75" header="0.3" footer="0.3"/>
  <pageSetup paperSize="9" orientation="portrait" verticalDpi="0" r:id="rId1"/>
  <ignoredErrors>
    <ignoredError sqref="I49 I40 N40 N44 N49 S40 S44 S49 S51 S53 X40 X49 X53:X54 X51 I17:AC17 O15:X15 N5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7545-DE79-4909-BACD-6D07C9184A7F}">
  <sheetPr>
    <tabColor theme="3" tint="-0.249977111117893"/>
  </sheetPr>
  <dimension ref="A1:Y211"/>
  <sheetViews>
    <sheetView showGridLines="0" zoomScaleNormal="100" workbookViewId="0">
      <pane xSplit="3" ySplit="5" topLeftCell="D6" activePane="bottomRight" state="frozen"/>
      <selection activeCell="H41" sqref="H41"/>
      <selection pane="topRight" activeCell="H41" sqref="H41"/>
      <selection pane="bottomLeft" activeCell="H41" sqref="H41"/>
      <selection pane="bottomRight" activeCell="H23" sqref="H23"/>
    </sheetView>
  </sheetViews>
  <sheetFormatPr defaultColWidth="8.77734375" defaultRowHeight="13.8" outlineLevelRow="1" outlineLevelCol="1"/>
  <cols>
    <col min="1" max="1" width="9.6640625" style="57" bestFit="1" customWidth="1"/>
    <col min="2" max="2" width="46.44140625" style="57" bestFit="1" customWidth="1"/>
    <col min="3" max="3" width="16.77734375" style="57" bestFit="1" customWidth="1"/>
    <col min="4" max="4" width="2.6640625" style="57" hidden="1" customWidth="1"/>
    <col min="5" max="5" width="20.6640625" style="57" hidden="1" customWidth="1" outlineLevel="1"/>
    <col min="6" max="6" width="21.33203125" style="57" hidden="1" customWidth="1" outlineLevel="1"/>
    <col min="7" max="7" width="18.77734375" style="57" hidden="1" customWidth="1" outlineLevel="1"/>
    <col min="8" max="8" width="18.77734375" style="57" bestFit="1" customWidth="1" collapsed="1"/>
    <col min="9" max="10" width="21.33203125" style="57" hidden="1" customWidth="1" outlineLevel="1"/>
    <col min="11" max="11" width="16.6640625" style="57" hidden="1" customWidth="1" outlineLevel="1"/>
    <col min="12" max="12" width="22.109375" style="57" bestFit="1" customWidth="1" collapsed="1"/>
    <col min="13" max="14" width="17.109375" style="57" hidden="1" customWidth="1" outlineLevel="1"/>
    <col min="15" max="15" width="21.44140625" style="57" hidden="1" customWidth="1" outlineLevel="1"/>
    <col min="16" max="16" width="22.109375" style="57" bestFit="1" customWidth="1" collapsed="1"/>
    <col min="17" max="18" width="22" style="57" hidden="1" customWidth="1" outlineLevel="1"/>
    <col min="19" max="19" width="21.44140625" style="57" hidden="1" customWidth="1" outlineLevel="1"/>
    <col min="20" max="20" width="22.109375" style="57" bestFit="1" customWidth="1" collapsed="1"/>
    <col min="21" max="22" width="22" style="57" hidden="1" customWidth="1" outlineLevel="1"/>
    <col min="23" max="23" width="21.44140625" style="57" hidden="1" customWidth="1" outlineLevel="1"/>
    <col min="24" max="24" width="22.44140625" style="57" bestFit="1" customWidth="1" collapsed="1"/>
    <col min="25" max="25" width="6.44140625" style="57" bestFit="1" customWidth="1"/>
    <col min="26" max="16384" width="8.77734375" style="57"/>
  </cols>
  <sheetData>
    <row r="1" spans="1:24">
      <c r="C1" s="57">
        <f>C11/9</f>
        <v>178381305.84444442</v>
      </c>
      <c r="E1" s="57">
        <f>C1/39000</f>
        <v>4573.8796370370364</v>
      </c>
      <c r="F1" s="57">
        <f>E1/10.75%</f>
        <v>42547.717553832896</v>
      </c>
    </row>
    <row r="3" spans="1:24">
      <c r="B3" s="80" t="s">
        <v>60</v>
      </c>
      <c r="C3" s="93">
        <v>0</v>
      </c>
      <c r="D3" s="93"/>
      <c r="E3" s="81">
        <f t="shared" ref="E3:X3" si="0">300/4</f>
        <v>75</v>
      </c>
      <c r="F3" s="81">
        <f t="shared" si="0"/>
        <v>75</v>
      </c>
      <c r="G3" s="81">
        <f t="shared" si="0"/>
        <v>75</v>
      </c>
      <c r="H3" s="81">
        <f t="shared" si="0"/>
        <v>75</v>
      </c>
      <c r="I3" s="81">
        <f t="shared" si="0"/>
        <v>75</v>
      </c>
      <c r="J3" s="81">
        <f t="shared" si="0"/>
        <v>75</v>
      </c>
      <c r="K3" s="81">
        <f t="shared" si="0"/>
        <v>75</v>
      </c>
      <c r="L3" s="81">
        <f t="shared" si="0"/>
        <v>75</v>
      </c>
      <c r="M3" s="81">
        <f t="shared" si="0"/>
        <v>75</v>
      </c>
      <c r="N3" s="81">
        <f t="shared" si="0"/>
        <v>75</v>
      </c>
      <c r="O3" s="81">
        <f t="shared" si="0"/>
        <v>75</v>
      </c>
      <c r="P3" s="81">
        <f t="shared" si="0"/>
        <v>75</v>
      </c>
      <c r="Q3" s="81">
        <f t="shared" si="0"/>
        <v>75</v>
      </c>
      <c r="R3" s="81">
        <f t="shared" si="0"/>
        <v>75</v>
      </c>
      <c r="S3" s="81">
        <f t="shared" si="0"/>
        <v>75</v>
      </c>
      <c r="T3" s="81">
        <f t="shared" si="0"/>
        <v>75</v>
      </c>
      <c r="U3" s="81">
        <f t="shared" si="0"/>
        <v>75</v>
      </c>
      <c r="V3" s="81">
        <f t="shared" si="0"/>
        <v>75</v>
      </c>
      <c r="W3" s="81">
        <f t="shared" si="0"/>
        <v>75</v>
      </c>
      <c r="X3" s="81">
        <f t="shared" si="0"/>
        <v>75</v>
      </c>
    </row>
    <row r="4" spans="1:24">
      <c r="B4" s="81" t="s">
        <v>58</v>
      </c>
      <c r="C4" s="94">
        <v>0</v>
      </c>
      <c r="D4" s="94"/>
      <c r="E4" s="81">
        <v>1</v>
      </c>
      <c r="F4" s="81">
        <f t="shared" ref="F4:X4" si="1">E4+1</f>
        <v>2</v>
      </c>
      <c r="G4" s="81">
        <f t="shared" si="1"/>
        <v>3</v>
      </c>
      <c r="H4" s="81">
        <f t="shared" si="1"/>
        <v>4</v>
      </c>
      <c r="I4" s="81">
        <f>H4+1</f>
        <v>5</v>
      </c>
      <c r="J4" s="81">
        <f t="shared" si="1"/>
        <v>6</v>
      </c>
      <c r="K4" s="81">
        <f t="shared" si="1"/>
        <v>7</v>
      </c>
      <c r="L4" s="81">
        <f t="shared" si="1"/>
        <v>8</v>
      </c>
      <c r="M4" s="81">
        <f>L4+1</f>
        <v>9</v>
      </c>
      <c r="N4" s="81">
        <f t="shared" si="1"/>
        <v>10</v>
      </c>
      <c r="O4" s="81">
        <f t="shared" si="1"/>
        <v>11</v>
      </c>
      <c r="P4" s="81">
        <f t="shared" si="1"/>
        <v>12</v>
      </c>
      <c r="Q4" s="81">
        <f>P4+1</f>
        <v>13</v>
      </c>
      <c r="R4" s="81">
        <f t="shared" si="1"/>
        <v>14</v>
      </c>
      <c r="S4" s="81">
        <f t="shared" si="1"/>
        <v>15</v>
      </c>
      <c r="T4" s="81">
        <f t="shared" si="1"/>
        <v>16</v>
      </c>
      <c r="U4" s="81">
        <f>T4+1</f>
        <v>17</v>
      </c>
      <c r="V4" s="81">
        <f t="shared" si="1"/>
        <v>18</v>
      </c>
      <c r="W4" s="81">
        <f t="shared" si="1"/>
        <v>19</v>
      </c>
      <c r="X4" s="81">
        <f t="shared" si="1"/>
        <v>20</v>
      </c>
    </row>
    <row r="5" spans="1:24" s="51" customFormat="1">
      <c r="B5" s="81" t="s">
        <v>413</v>
      </c>
      <c r="C5" s="83">
        <v>45747</v>
      </c>
      <c r="D5" s="80"/>
      <c r="E5" s="82">
        <v>45838</v>
      </c>
      <c r="F5" s="83">
        <f>EOMONTH(E5,3)</f>
        <v>45930</v>
      </c>
      <c r="G5" s="83">
        <f>EOMONTH(F5,3)</f>
        <v>46022</v>
      </c>
      <c r="H5" s="83">
        <f>EDATE(G5,3)</f>
        <v>46112</v>
      </c>
      <c r="I5" s="83">
        <f t="shared" ref="I5:X5" si="2">EOMONTH(H5,3)</f>
        <v>46203</v>
      </c>
      <c r="J5" s="83">
        <f t="shared" si="2"/>
        <v>46295</v>
      </c>
      <c r="K5" s="83">
        <f t="shared" si="2"/>
        <v>46387</v>
      </c>
      <c r="L5" s="83">
        <f t="shared" si="2"/>
        <v>46477</v>
      </c>
      <c r="M5" s="83">
        <f t="shared" si="2"/>
        <v>46568</v>
      </c>
      <c r="N5" s="83">
        <f t="shared" si="2"/>
        <v>46660</v>
      </c>
      <c r="O5" s="83">
        <f t="shared" si="2"/>
        <v>46752</v>
      </c>
      <c r="P5" s="83">
        <f t="shared" si="2"/>
        <v>46843</v>
      </c>
      <c r="Q5" s="83">
        <f t="shared" si="2"/>
        <v>46934</v>
      </c>
      <c r="R5" s="83">
        <f t="shared" si="2"/>
        <v>47026</v>
      </c>
      <c r="S5" s="83">
        <f t="shared" si="2"/>
        <v>47118</v>
      </c>
      <c r="T5" s="83">
        <f t="shared" si="2"/>
        <v>47208</v>
      </c>
      <c r="U5" s="83">
        <f t="shared" si="2"/>
        <v>47299</v>
      </c>
      <c r="V5" s="83">
        <f t="shared" si="2"/>
        <v>47391</v>
      </c>
      <c r="W5" s="83">
        <f t="shared" si="2"/>
        <v>47483</v>
      </c>
      <c r="X5" s="83">
        <f t="shared" si="2"/>
        <v>47573</v>
      </c>
    </row>
    <row r="6" spans="1:24">
      <c r="C6" s="71"/>
      <c r="D6" s="71"/>
      <c r="H6" s="118"/>
    </row>
    <row r="7" spans="1:24">
      <c r="A7" s="101" t="s">
        <v>367</v>
      </c>
      <c r="B7" s="61" t="s">
        <v>110</v>
      </c>
      <c r="C7" s="70"/>
      <c r="D7" s="70"/>
    </row>
    <row r="8" spans="1:24">
      <c r="B8" s="57" t="s">
        <v>111</v>
      </c>
      <c r="C8" s="71">
        <v>24920421.34</v>
      </c>
      <c r="D8" s="71"/>
      <c r="E8" s="57">
        <f>CFS!D26</f>
        <v>1025267731.165738</v>
      </c>
      <c r="F8" s="57">
        <f>CFS!E26</f>
        <v>1528963742.2865188</v>
      </c>
      <c r="G8" s="57">
        <f>CFS!F26</f>
        <v>1116617969.4797335</v>
      </c>
      <c r="H8" s="57">
        <f>CFS!G26</f>
        <v>1013279626.9102998</v>
      </c>
      <c r="I8" s="57">
        <f>CFS!I26</f>
        <v>1733431044.1656194</v>
      </c>
      <c r="J8" s="57">
        <f>CFS!J26</f>
        <v>2602617705.3381968</v>
      </c>
      <c r="K8" s="57">
        <f>CFS!K26</f>
        <v>-4970650055.5417585</v>
      </c>
      <c r="L8" s="57">
        <f>CFS!L26</f>
        <v>-1914949780.9272118</v>
      </c>
      <c r="M8" s="57">
        <f>CFS!N26</f>
        <v>1018411333.5606546</v>
      </c>
      <c r="N8" s="57">
        <f>CFS!O26</f>
        <v>3857424701.9686842</v>
      </c>
      <c r="O8" s="57">
        <f>CFS!P26</f>
        <v>-2802794374.4693031</v>
      </c>
      <c r="P8" s="57">
        <f>CFS!Q26</f>
        <v>439527527.24751902</v>
      </c>
      <c r="Q8" s="57">
        <f>CFS!S26</f>
        <v>3546573429.4065666</v>
      </c>
      <c r="R8" s="57">
        <f>CFS!T26</f>
        <v>6532004201.5040417</v>
      </c>
      <c r="S8" s="57">
        <f>CFS!U26</f>
        <v>-671406709.12008476</v>
      </c>
      <c r="T8" s="57">
        <f>CFS!V26</f>
        <v>2843177901.4194088</v>
      </c>
      <c r="U8" s="57">
        <f>CFS!X26</f>
        <v>6063536215.8423033</v>
      </c>
      <c r="V8" s="57">
        <f>CFS!Y26</f>
        <v>9319929416.1191044</v>
      </c>
      <c r="W8" s="57">
        <f>CFS!Z26</f>
        <v>1540174540.7541742</v>
      </c>
      <c r="X8" s="57">
        <f>CFS!AA26</f>
        <v>5353484307.4437447</v>
      </c>
    </row>
    <row r="9" spans="1:24">
      <c r="B9" s="57" t="s">
        <v>112</v>
      </c>
      <c r="C9" s="71">
        <v>0</v>
      </c>
      <c r="D9" s="71"/>
      <c r="E9" s="57">
        <f>C9</f>
        <v>0</v>
      </c>
      <c r="F9" s="57">
        <f t="shared" ref="F9:X9" si="3">E9</f>
        <v>0</v>
      </c>
      <c r="G9" s="57">
        <f t="shared" si="3"/>
        <v>0</v>
      </c>
      <c r="H9" s="57">
        <f>G9</f>
        <v>0</v>
      </c>
      <c r="I9" s="57">
        <f>H9</f>
        <v>0</v>
      </c>
      <c r="J9" s="57">
        <f t="shared" si="3"/>
        <v>0</v>
      </c>
      <c r="K9" s="57">
        <f t="shared" si="3"/>
        <v>0</v>
      </c>
      <c r="L9" s="57">
        <f t="shared" si="3"/>
        <v>0</v>
      </c>
      <c r="M9" s="57">
        <f>L9</f>
        <v>0</v>
      </c>
      <c r="N9" s="57">
        <f t="shared" si="3"/>
        <v>0</v>
      </c>
      <c r="O9" s="57">
        <f t="shared" si="3"/>
        <v>0</v>
      </c>
      <c r="P9" s="57">
        <f t="shared" si="3"/>
        <v>0</v>
      </c>
      <c r="Q9" s="57">
        <f>P9</f>
        <v>0</v>
      </c>
      <c r="R9" s="57">
        <f t="shared" si="3"/>
        <v>0</v>
      </c>
      <c r="S9" s="57">
        <f t="shared" si="3"/>
        <v>0</v>
      </c>
      <c r="T9" s="57">
        <f t="shared" si="3"/>
        <v>0</v>
      </c>
      <c r="U9" s="57">
        <f>T9</f>
        <v>0</v>
      </c>
      <c r="V9" s="57">
        <f t="shared" si="3"/>
        <v>0</v>
      </c>
      <c r="W9" s="57">
        <f t="shared" si="3"/>
        <v>0</v>
      </c>
      <c r="X9" s="57">
        <f t="shared" si="3"/>
        <v>0</v>
      </c>
    </row>
    <row r="10" spans="1:24">
      <c r="B10" s="57" t="s">
        <v>113</v>
      </c>
      <c r="C10" s="71">
        <v>172869560.50999999</v>
      </c>
      <c r="D10" s="71"/>
      <c r="E10" s="57">
        <f>E70</f>
        <v>138310714.28571427</v>
      </c>
      <c r="F10" s="57">
        <f>F70</f>
        <v>163363571.42857143</v>
      </c>
      <c r="G10" s="57">
        <f>G70</f>
        <v>716007850.23473454</v>
      </c>
      <c r="H10" s="57">
        <f>H70</f>
        <v>627620150.2566874</v>
      </c>
      <c r="I10" s="57">
        <f t="shared" ref="I10:X10" si="4">I70</f>
        <v>645459121.1648519</v>
      </c>
      <c r="J10" s="57">
        <f t="shared" si="4"/>
        <v>644829276.73419833</v>
      </c>
      <c r="K10" s="57">
        <f t="shared" si="4"/>
        <v>646229252.18480456</v>
      </c>
      <c r="L10" s="57">
        <f t="shared" si="4"/>
        <v>647884652.73284543</v>
      </c>
      <c r="M10" s="57">
        <f t="shared" si="4"/>
        <v>646957423.16231716</v>
      </c>
      <c r="N10" s="57">
        <f t="shared" si="4"/>
        <v>646164201.36635089</v>
      </c>
      <c r="O10" s="57">
        <f t="shared" si="4"/>
        <v>665527694.29998326</v>
      </c>
      <c r="P10" s="57">
        <f t="shared" si="4"/>
        <v>667127652.59917617</v>
      </c>
      <c r="Q10" s="57">
        <f t="shared" si="4"/>
        <v>666048738.61375237</v>
      </c>
      <c r="R10" s="57">
        <f t="shared" si="4"/>
        <v>665125887.9700036</v>
      </c>
      <c r="S10" s="57">
        <f t="shared" si="4"/>
        <v>684229578.26784945</v>
      </c>
      <c r="T10" s="57">
        <f t="shared" si="4"/>
        <v>687283635.97465611</v>
      </c>
      <c r="U10" s="57">
        <f t="shared" si="4"/>
        <v>823130150.34689713</v>
      </c>
      <c r="V10" s="57">
        <f t="shared" si="4"/>
        <v>821773521.81259596</v>
      </c>
      <c r="W10" s="57">
        <f t="shared" si="4"/>
        <v>843744641.87282944</v>
      </c>
      <c r="X10" s="57">
        <f t="shared" si="4"/>
        <v>849437833.40085208</v>
      </c>
    </row>
    <row r="11" spans="1:24">
      <c r="B11" s="57" t="s">
        <v>114</v>
      </c>
      <c r="C11" s="71">
        <v>1605431752.5999999</v>
      </c>
      <c r="D11" s="71"/>
      <c r="E11" s="57">
        <f>E146+E155</f>
        <v>1010982142.8571428</v>
      </c>
      <c r="F11" s="57">
        <f t="shared" ref="F11:X11" si="5">F146+F155</f>
        <v>229357142.85714275</v>
      </c>
      <c r="G11" s="57">
        <f t="shared" si="5"/>
        <v>571088097.27669644</v>
      </c>
      <c r="H11" s="57">
        <f t="shared" si="5"/>
        <v>1235437400.3020663</v>
      </c>
      <c r="I11" s="57">
        <f t="shared" si="5"/>
        <v>649128541.34045017</v>
      </c>
      <c r="J11" s="57">
        <f t="shared" si="5"/>
        <v>126070237.41768946</v>
      </c>
      <c r="K11" s="57">
        <f t="shared" si="5"/>
        <v>6881651705.8346472</v>
      </c>
      <c r="L11" s="57">
        <f t="shared" si="5"/>
        <v>4565278184.2353611</v>
      </c>
      <c r="M11" s="57">
        <f t="shared" si="5"/>
        <v>2317867709.2486968</v>
      </c>
      <c r="N11" s="57">
        <f t="shared" si="5"/>
        <v>125794291.88663462</v>
      </c>
      <c r="O11" s="57">
        <f t="shared" si="5"/>
        <v>7292594133.6159306</v>
      </c>
      <c r="P11" s="57">
        <f t="shared" si="5"/>
        <v>4837736674.4398947</v>
      </c>
      <c r="Q11" s="57">
        <f t="shared" si="5"/>
        <v>2455126706.3154602</v>
      </c>
      <c r="R11" s="57">
        <f t="shared" si="5"/>
        <v>136810436.50949845</v>
      </c>
      <c r="S11" s="57">
        <f t="shared" si="5"/>
        <v>7982675339.8057089</v>
      </c>
      <c r="T11" s="57">
        <f t="shared" si="5"/>
        <v>5293377881.7056875</v>
      </c>
      <c r="U11" s="57">
        <f t="shared" si="5"/>
        <v>2683338258.7943587</v>
      </c>
      <c r="V11" s="57">
        <f t="shared" si="5"/>
        <v>152349651.71371061</v>
      </c>
      <c r="W11" s="57">
        <f t="shared" si="5"/>
        <v>8623752789.3195877</v>
      </c>
      <c r="X11" s="57">
        <f t="shared" si="5"/>
        <v>5697910555.2732277</v>
      </c>
    </row>
    <row r="12" spans="1:24">
      <c r="B12" s="57" t="s">
        <v>311</v>
      </c>
      <c r="C12" s="71">
        <v>88315120.480000004</v>
      </c>
      <c r="D12" s="71"/>
      <c r="E12" s="57">
        <f>C12</f>
        <v>88315120.480000004</v>
      </c>
      <c r="F12" s="57">
        <f t="shared" ref="F12:X12" si="6">E12</f>
        <v>88315120.480000004</v>
      </c>
      <c r="G12" s="57">
        <f t="shared" si="6"/>
        <v>88315120.480000004</v>
      </c>
      <c r="H12" s="57">
        <f>G12</f>
        <v>88315120.480000004</v>
      </c>
      <c r="I12" s="57">
        <f>H12</f>
        <v>88315120.480000004</v>
      </c>
      <c r="J12" s="57">
        <f t="shared" si="6"/>
        <v>88315120.480000004</v>
      </c>
      <c r="K12" s="57">
        <f t="shared" si="6"/>
        <v>88315120.480000004</v>
      </c>
      <c r="L12" s="57">
        <f>K12</f>
        <v>88315120.480000004</v>
      </c>
      <c r="M12" s="57">
        <f>L12</f>
        <v>88315120.480000004</v>
      </c>
      <c r="N12" s="57">
        <f t="shared" si="6"/>
        <v>88315120.480000004</v>
      </c>
      <c r="O12" s="57">
        <f t="shared" si="6"/>
        <v>88315120.480000004</v>
      </c>
      <c r="P12" s="57">
        <f>O12</f>
        <v>88315120.480000004</v>
      </c>
      <c r="Q12" s="57">
        <f>P12</f>
        <v>88315120.480000004</v>
      </c>
      <c r="R12" s="57">
        <f t="shared" si="6"/>
        <v>88315120.480000004</v>
      </c>
      <c r="S12" s="57">
        <f t="shared" si="6"/>
        <v>88315120.480000004</v>
      </c>
      <c r="T12" s="57">
        <f t="shared" si="6"/>
        <v>88315120.480000004</v>
      </c>
      <c r="U12" s="57">
        <f>T12</f>
        <v>88315120.480000004</v>
      </c>
      <c r="V12" s="57">
        <f t="shared" si="6"/>
        <v>88315120.480000004</v>
      </c>
      <c r="W12" s="57">
        <f t="shared" si="6"/>
        <v>88315120.480000004</v>
      </c>
      <c r="X12" s="57">
        <f t="shared" si="6"/>
        <v>88315120.480000004</v>
      </c>
    </row>
    <row r="13" spans="1:24">
      <c r="B13" s="57" t="s">
        <v>118</v>
      </c>
      <c r="C13" s="71">
        <v>166423457.66999999</v>
      </c>
      <c r="D13" s="71"/>
      <c r="E13" s="57">
        <f>C13</f>
        <v>166423457.66999999</v>
      </c>
      <c r="F13" s="57">
        <f t="shared" ref="F13:X13" si="7">E13</f>
        <v>166423457.66999999</v>
      </c>
      <c r="G13" s="57">
        <f t="shared" si="7"/>
        <v>166423457.66999999</v>
      </c>
      <c r="H13" s="57">
        <f>G13</f>
        <v>166423457.66999999</v>
      </c>
      <c r="I13" s="57">
        <f>H13</f>
        <v>166423457.66999999</v>
      </c>
      <c r="J13" s="57">
        <f t="shared" si="7"/>
        <v>166423457.66999999</v>
      </c>
      <c r="K13" s="57">
        <f>J13</f>
        <v>166423457.66999999</v>
      </c>
      <c r="L13" s="57">
        <f t="shared" si="7"/>
        <v>166423457.66999999</v>
      </c>
      <c r="M13" s="57">
        <f>L13</f>
        <v>166423457.66999999</v>
      </c>
      <c r="N13" s="57">
        <f t="shared" si="7"/>
        <v>166423457.66999999</v>
      </c>
      <c r="O13" s="57">
        <f t="shared" si="7"/>
        <v>166423457.66999999</v>
      </c>
      <c r="P13" s="57">
        <f>O13</f>
        <v>166423457.66999999</v>
      </c>
      <c r="Q13" s="57">
        <f>P13</f>
        <v>166423457.66999999</v>
      </c>
      <c r="R13" s="57">
        <f t="shared" si="7"/>
        <v>166423457.66999999</v>
      </c>
      <c r="S13" s="57">
        <f t="shared" si="7"/>
        <v>166423457.66999999</v>
      </c>
      <c r="T13" s="57">
        <f t="shared" si="7"/>
        <v>166423457.66999999</v>
      </c>
      <c r="U13" s="57">
        <f>T13</f>
        <v>166423457.66999999</v>
      </c>
      <c r="V13" s="57">
        <f t="shared" si="7"/>
        <v>166423457.66999999</v>
      </c>
      <c r="W13" s="57">
        <f t="shared" si="7"/>
        <v>166423457.66999999</v>
      </c>
      <c r="X13" s="57">
        <f t="shared" si="7"/>
        <v>166423457.66999999</v>
      </c>
    </row>
    <row r="14" spans="1:24">
      <c r="C14" s="71"/>
      <c r="D14" s="71"/>
    </row>
    <row r="15" spans="1:24">
      <c r="A15" s="101" t="s">
        <v>367</v>
      </c>
      <c r="B15" s="61" t="s">
        <v>119</v>
      </c>
      <c r="C15" s="70"/>
      <c r="D15" s="70"/>
    </row>
    <row r="16" spans="1:24">
      <c r="B16" s="57" t="s">
        <v>363</v>
      </c>
      <c r="C16" s="71">
        <v>1728542449.9400001</v>
      </c>
      <c r="D16" s="71"/>
      <c r="E16" s="57">
        <f>E169</f>
        <v>1728542449.9400001</v>
      </c>
      <c r="F16" s="57">
        <f t="shared" ref="F16:X16" si="8">F169</f>
        <v>1978542449.9400001</v>
      </c>
      <c r="G16" s="57">
        <f t="shared" si="8"/>
        <v>1904347108.06725</v>
      </c>
      <c r="H16" s="57">
        <f t="shared" si="8"/>
        <v>1832934091.5147281</v>
      </c>
      <c r="I16" s="57">
        <f t="shared" si="8"/>
        <v>1764199063.0829258</v>
      </c>
      <c r="J16" s="57">
        <f t="shared" si="8"/>
        <v>1698041598.2173162</v>
      </c>
      <c r="K16" s="57">
        <f t="shared" si="8"/>
        <v>1634365038.2841668</v>
      </c>
      <c r="L16" s="57">
        <f t="shared" si="8"/>
        <v>1573076349.3485105</v>
      </c>
      <c r="M16" s="57">
        <f t="shared" si="8"/>
        <v>1514085986.2479413</v>
      </c>
      <c r="N16" s="57">
        <f t="shared" si="8"/>
        <v>1457307761.7636435</v>
      </c>
      <c r="O16" s="57">
        <f t="shared" si="8"/>
        <v>1402658720.6975069</v>
      </c>
      <c r="P16" s="57">
        <f t="shared" si="8"/>
        <v>1350059018.6713505</v>
      </c>
      <c r="Q16" s="57">
        <f t="shared" si="8"/>
        <v>1299431805.4711747</v>
      </c>
      <c r="R16" s="57">
        <f t="shared" si="8"/>
        <v>1250703112.7660058</v>
      </c>
      <c r="S16" s="57">
        <f t="shared" si="8"/>
        <v>1203801746.0372806</v>
      </c>
      <c r="T16" s="57">
        <f t="shared" si="8"/>
        <v>1158659180.5608826</v>
      </c>
      <c r="U16" s="57">
        <f t="shared" si="8"/>
        <v>1115209461.2898495</v>
      </c>
      <c r="V16" s="57">
        <f t="shared" si="8"/>
        <v>1073389106.4914801</v>
      </c>
      <c r="W16" s="57">
        <f t="shared" si="8"/>
        <v>1033137014.9980496</v>
      </c>
      <c r="X16" s="57">
        <f t="shared" si="8"/>
        <v>994394376.93562281</v>
      </c>
    </row>
    <row r="17" spans="1:25">
      <c r="B17" s="57" t="s">
        <v>364</v>
      </c>
      <c r="C17" s="71">
        <v>1208061592.9400001</v>
      </c>
      <c r="D17" s="71"/>
      <c r="E17" s="57">
        <f>E163</f>
        <v>1162759283.2047501</v>
      </c>
      <c r="F17" s="57">
        <f t="shared" ref="F17:X17" si="9">F163</f>
        <v>1119155810.0845718</v>
      </c>
      <c r="G17" s="57">
        <f t="shared" si="9"/>
        <v>1077187467.2064004</v>
      </c>
      <c r="H17" s="57">
        <f t="shared" si="9"/>
        <v>1036792937.1861603</v>
      </c>
      <c r="I17" s="57">
        <f t="shared" si="9"/>
        <v>997913202.04167926</v>
      </c>
      <c r="J17" s="57">
        <f t="shared" si="9"/>
        <v>960491456.96511626</v>
      </c>
      <c r="K17" s="57">
        <f t="shared" si="9"/>
        <v>924473027.32892442</v>
      </c>
      <c r="L17" s="57">
        <f t="shared" si="9"/>
        <v>889805288.80408978</v>
      </c>
      <c r="M17" s="57">
        <f t="shared" si="9"/>
        <v>856437590.47393644</v>
      </c>
      <c r="N17" s="57">
        <f t="shared" si="9"/>
        <v>824321180.83116388</v>
      </c>
      <c r="O17" s="57">
        <f t="shared" si="9"/>
        <v>793409136.54999518</v>
      </c>
      <c r="P17" s="57">
        <f t="shared" si="9"/>
        <v>763656293.9293704</v>
      </c>
      <c r="Q17" s="57">
        <f t="shared" si="9"/>
        <v>735019182.90701902</v>
      </c>
      <c r="R17" s="57">
        <f t="shared" si="9"/>
        <v>707455963.54800582</v>
      </c>
      <c r="S17" s="57">
        <f t="shared" si="9"/>
        <v>680926364.91495562</v>
      </c>
      <c r="T17" s="57">
        <f t="shared" si="9"/>
        <v>655391626.23064482</v>
      </c>
      <c r="U17" s="57">
        <f t="shared" si="9"/>
        <v>630814440.24699569</v>
      </c>
      <c r="V17" s="57">
        <f t="shared" si="9"/>
        <v>607158898.73773336</v>
      </c>
      <c r="W17" s="57">
        <f t="shared" si="9"/>
        <v>584390440.03506839</v>
      </c>
      <c r="X17" s="57">
        <f t="shared" si="9"/>
        <v>562475798.53375328</v>
      </c>
    </row>
    <row r="18" spans="1:25">
      <c r="B18" s="57" t="s">
        <v>312</v>
      </c>
      <c r="C18" s="71">
        <v>59760000</v>
      </c>
      <c r="D18" s="71"/>
      <c r="E18" s="57">
        <f>C18</f>
        <v>59760000</v>
      </c>
      <c r="F18" s="57">
        <f t="shared" ref="F18:X18" si="10">E18</f>
        <v>59760000</v>
      </c>
      <c r="G18" s="57">
        <f t="shared" si="10"/>
        <v>59760000</v>
      </c>
      <c r="H18" s="57">
        <f t="shared" si="10"/>
        <v>59760000</v>
      </c>
      <c r="I18" s="57">
        <f>H18</f>
        <v>59760000</v>
      </c>
      <c r="J18" s="57">
        <f t="shared" si="10"/>
        <v>59760000</v>
      </c>
      <c r="K18" s="57">
        <f t="shared" si="10"/>
        <v>59760000</v>
      </c>
      <c r="L18" s="57">
        <f t="shared" si="10"/>
        <v>59760000</v>
      </c>
      <c r="M18" s="57">
        <f>L18</f>
        <v>59760000</v>
      </c>
      <c r="N18" s="57">
        <f t="shared" si="10"/>
        <v>59760000</v>
      </c>
      <c r="O18" s="57">
        <f t="shared" si="10"/>
        <v>59760000</v>
      </c>
      <c r="P18" s="57">
        <f>O18</f>
        <v>59760000</v>
      </c>
      <c r="Q18" s="57">
        <f>P18</f>
        <v>59760000</v>
      </c>
      <c r="R18" s="57">
        <f t="shared" si="10"/>
        <v>59760000</v>
      </c>
      <c r="S18" s="57">
        <f t="shared" si="10"/>
        <v>59760000</v>
      </c>
      <c r="T18" s="57">
        <f t="shared" si="10"/>
        <v>59760000</v>
      </c>
      <c r="U18" s="57">
        <f>T18</f>
        <v>59760000</v>
      </c>
      <c r="V18" s="57">
        <f t="shared" si="10"/>
        <v>59760000</v>
      </c>
      <c r="W18" s="57">
        <f t="shared" si="10"/>
        <v>59760000</v>
      </c>
      <c r="X18" s="57">
        <f t="shared" si="10"/>
        <v>59760000</v>
      </c>
    </row>
    <row r="19" spans="1:25">
      <c r="B19" s="57" t="s">
        <v>313</v>
      </c>
      <c r="C19" s="71">
        <v>128709301</v>
      </c>
      <c r="D19" s="71"/>
      <c r="E19" s="57">
        <f>C19</f>
        <v>128709301</v>
      </c>
      <c r="F19" s="57">
        <f t="shared" ref="F19:X19" si="11">E19</f>
        <v>128709301</v>
      </c>
      <c r="G19" s="57">
        <f t="shared" si="11"/>
        <v>128709301</v>
      </c>
      <c r="H19" s="57">
        <f t="shared" si="11"/>
        <v>128709301</v>
      </c>
      <c r="I19" s="57">
        <f>H19</f>
        <v>128709301</v>
      </c>
      <c r="J19" s="57">
        <f>I19</f>
        <v>128709301</v>
      </c>
      <c r="K19" s="57">
        <f t="shared" si="11"/>
        <v>128709301</v>
      </c>
      <c r="L19" s="57">
        <f>K19</f>
        <v>128709301</v>
      </c>
      <c r="M19" s="57">
        <f>L19</f>
        <v>128709301</v>
      </c>
      <c r="N19" s="57">
        <f t="shared" si="11"/>
        <v>128709301</v>
      </c>
      <c r="O19" s="57">
        <f t="shared" si="11"/>
        <v>128709301</v>
      </c>
      <c r="P19" s="57">
        <f t="shared" si="11"/>
        <v>128709301</v>
      </c>
      <c r="Q19" s="57">
        <f>P19</f>
        <v>128709301</v>
      </c>
      <c r="R19" s="57">
        <f t="shared" si="11"/>
        <v>128709301</v>
      </c>
      <c r="S19" s="57">
        <f t="shared" si="11"/>
        <v>128709301</v>
      </c>
      <c r="T19" s="57">
        <f t="shared" si="11"/>
        <v>128709301</v>
      </c>
      <c r="U19" s="57">
        <f>T19</f>
        <v>128709301</v>
      </c>
      <c r="V19" s="57">
        <f t="shared" si="11"/>
        <v>128709301</v>
      </c>
      <c r="W19" s="57">
        <f t="shared" si="11"/>
        <v>128709301</v>
      </c>
      <c r="X19" s="57">
        <f t="shared" si="11"/>
        <v>128709301</v>
      </c>
    </row>
    <row r="20" spans="1:25">
      <c r="B20" s="57" t="s">
        <v>143</v>
      </c>
      <c r="C20" s="71">
        <v>127562874.61</v>
      </c>
      <c r="D20" s="71"/>
      <c r="E20" s="57">
        <f>C20</f>
        <v>127562874.61</v>
      </c>
      <c r="F20" s="57">
        <f t="shared" ref="F20:X20" si="12">E20</f>
        <v>127562874.61</v>
      </c>
      <c r="G20" s="57">
        <f t="shared" si="12"/>
        <v>127562874.61</v>
      </c>
      <c r="H20" s="57">
        <f t="shared" si="12"/>
        <v>127562874.61</v>
      </c>
      <c r="I20" s="57">
        <f>H20</f>
        <v>127562874.61</v>
      </c>
      <c r="J20" s="57">
        <f t="shared" si="12"/>
        <v>127562874.61</v>
      </c>
      <c r="K20" s="57">
        <f t="shared" si="12"/>
        <v>127562874.61</v>
      </c>
      <c r="L20" s="57">
        <f>K20</f>
        <v>127562874.61</v>
      </c>
      <c r="M20" s="57">
        <f>L20</f>
        <v>127562874.61</v>
      </c>
      <c r="N20" s="57">
        <f t="shared" si="12"/>
        <v>127562874.61</v>
      </c>
      <c r="O20" s="57">
        <f t="shared" si="12"/>
        <v>127562874.61</v>
      </c>
      <c r="P20" s="57">
        <f t="shared" si="12"/>
        <v>127562874.61</v>
      </c>
      <c r="Q20" s="57">
        <f>P20</f>
        <v>127562874.61</v>
      </c>
      <c r="R20" s="57">
        <f t="shared" si="12"/>
        <v>127562874.61</v>
      </c>
      <c r="S20" s="57">
        <f t="shared" si="12"/>
        <v>127562874.61</v>
      </c>
      <c r="T20" s="57">
        <f t="shared" si="12"/>
        <v>127562874.61</v>
      </c>
      <c r="U20" s="57">
        <f>T20</f>
        <v>127562874.61</v>
      </c>
      <c r="V20" s="57">
        <f t="shared" si="12"/>
        <v>127562874.61</v>
      </c>
      <c r="W20" s="57">
        <f t="shared" si="12"/>
        <v>127562874.61</v>
      </c>
      <c r="X20" s="57">
        <f t="shared" si="12"/>
        <v>127562874.61</v>
      </c>
    </row>
    <row r="21" spans="1:25">
      <c r="C21" s="71"/>
      <c r="D21" s="71"/>
    </row>
    <row r="22" spans="1:25" s="68" customFormat="1">
      <c r="A22" s="101" t="s">
        <v>367</v>
      </c>
      <c r="B22" s="81" t="s">
        <v>120</v>
      </c>
      <c r="C22" s="95">
        <f>(SUM(C8:C13,C16:C20))</f>
        <v>5310596531.0899992</v>
      </c>
      <c r="D22" s="95"/>
      <c r="E22" s="95">
        <f t="shared" ref="E22:J22" si="13">SUM(E8:E13,E16:E20)</f>
        <v>5636633075.2133455</v>
      </c>
      <c r="F22" s="95">
        <f t="shared" si="13"/>
        <v>5590153470.3568048</v>
      </c>
      <c r="G22" s="95">
        <f t="shared" si="13"/>
        <v>5956019246.0248137</v>
      </c>
      <c r="H22" s="95">
        <f t="shared" si="13"/>
        <v>6316834959.9299412</v>
      </c>
      <c r="I22" s="95">
        <f t="shared" si="13"/>
        <v>6360901725.5555258</v>
      </c>
      <c r="J22" s="95">
        <f t="shared" si="13"/>
        <v>6602821028.4325171</v>
      </c>
      <c r="K22" s="95">
        <f>SUM(K8:K14,K16:K20)</f>
        <v>5686839721.8507843</v>
      </c>
      <c r="L22" s="95">
        <f t="shared" ref="L22:X22" si="14">SUM(L8:L13,L16:L20)</f>
        <v>6331865447.9535942</v>
      </c>
      <c r="M22" s="95">
        <f t="shared" si="14"/>
        <v>6924530796.4535456</v>
      </c>
      <c r="N22" s="95">
        <f t="shared" si="14"/>
        <v>7481782891.5764761</v>
      </c>
      <c r="O22" s="95">
        <f t="shared" si="14"/>
        <v>7922166064.4541121</v>
      </c>
      <c r="P22" s="95">
        <f t="shared" si="14"/>
        <v>8628877920.6473103</v>
      </c>
      <c r="Q22" s="95">
        <f t="shared" si="14"/>
        <v>9272970616.4739723</v>
      </c>
      <c r="R22" s="95">
        <f t="shared" si="14"/>
        <v>9862870356.0575562</v>
      </c>
      <c r="S22" s="95">
        <f t="shared" si="14"/>
        <v>10450997073.66571</v>
      </c>
      <c r="T22" s="95">
        <f t="shared" si="14"/>
        <v>11208660979.651279</v>
      </c>
      <c r="U22" s="95">
        <f t="shared" si="14"/>
        <v>11886799280.280405</v>
      </c>
      <c r="V22" s="95">
        <f t="shared" si="14"/>
        <v>12545371348.634624</v>
      </c>
      <c r="W22" s="95">
        <f t="shared" si="14"/>
        <v>13195970180.739708</v>
      </c>
      <c r="X22" s="95">
        <f t="shared" si="14"/>
        <v>14028473625.3472</v>
      </c>
      <c r="Y22" s="57"/>
    </row>
    <row r="23" spans="1:25">
      <c r="C23" s="71"/>
      <c r="D23" s="71"/>
    </row>
    <row r="24" spans="1:25">
      <c r="A24" s="101" t="s">
        <v>367</v>
      </c>
      <c r="B24" s="61" t="s">
        <v>121</v>
      </c>
      <c r="C24" s="70"/>
      <c r="D24" s="70"/>
    </row>
    <row r="25" spans="1:25">
      <c r="B25" s="57" t="s">
        <v>314</v>
      </c>
      <c r="C25" s="71">
        <v>958974329.36000013</v>
      </c>
      <c r="D25" s="71"/>
      <c r="H25" s="57">
        <f>C25</f>
        <v>958974329.36000013</v>
      </c>
      <c r="L25" s="57">
        <f>H25</f>
        <v>958974329.36000013</v>
      </c>
      <c r="P25" s="57">
        <f>L25</f>
        <v>958974329.36000013</v>
      </c>
      <c r="T25" s="57">
        <f>P25</f>
        <v>958974329.36000013</v>
      </c>
      <c r="X25" s="57">
        <f>T25</f>
        <v>958974329.36000013</v>
      </c>
    </row>
    <row r="26" spans="1:25">
      <c r="B26" s="57" t="s">
        <v>137</v>
      </c>
      <c r="C26" s="71">
        <v>681511080.59000003</v>
      </c>
      <c r="D26" s="71"/>
      <c r="E26" s="57">
        <f>E$124</f>
        <v>1009385.8333333333</v>
      </c>
      <c r="F26" s="57">
        <f t="shared" ref="F26:X26" si="15">F$124</f>
        <v>1034620.4791666666</v>
      </c>
      <c r="G26" s="57">
        <f t="shared" si="15"/>
        <v>136141971.02802572</v>
      </c>
      <c r="H26" s="57">
        <f t="shared" si="15"/>
        <v>200421186.44790474</v>
      </c>
      <c r="I26" s="57">
        <f t="shared" si="15"/>
        <v>495275.26615068078</v>
      </c>
      <c r="J26" s="57">
        <f t="shared" si="15"/>
        <v>498099.63818612671</v>
      </c>
      <c r="K26" s="57">
        <f t="shared" si="15"/>
        <v>643063.72269177204</v>
      </c>
      <c r="L26" s="57">
        <f t="shared" si="15"/>
        <v>558475.52300595667</v>
      </c>
      <c r="M26" s="57">
        <f t="shared" si="15"/>
        <v>846072.61832799623</v>
      </c>
      <c r="N26" s="57">
        <f t="shared" si="15"/>
        <v>849190.1965886422</v>
      </c>
      <c r="O26" s="57">
        <f t="shared" si="15"/>
        <v>681038.150808451</v>
      </c>
      <c r="P26" s="57">
        <f t="shared" si="15"/>
        <v>607869.1120240977</v>
      </c>
      <c r="Q26" s="57">
        <f t="shared" si="15"/>
        <v>878781.95838124689</v>
      </c>
      <c r="R26" s="57">
        <f t="shared" si="15"/>
        <v>882223.18145288026</v>
      </c>
      <c r="S26" s="57">
        <f t="shared" si="15"/>
        <v>753291.76049283997</v>
      </c>
      <c r="T26" s="57">
        <f t="shared" si="15"/>
        <v>665573.86214914138</v>
      </c>
      <c r="U26" s="57">
        <f t="shared" si="15"/>
        <v>1095402.286282887</v>
      </c>
      <c r="V26" s="57">
        <f t="shared" si="15"/>
        <v>1099960.445946069</v>
      </c>
      <c r="W26" s="57">
        <f t="shared" si="15"/>
        <v>999015.48340400658</v>
      </c>
      <c r="X26" s="57">
        <f t="shared" si="15"/>
        <v>900337.73323347035</v>
      </c>
    </row>
    <row r="27" spans="1:25">
      <c r="B27" s="57" t="s">
        <v>145</v>
      </c>
      <c r="C27" s="71">
        <v>99667051.960000008</v>
      </c>
      <c r="D27" s="71"/>
      <c r="E27" s="57">
        <f>C27</f>
        <v>99667051.960000008</v>
      </c>
      <c r="F27" s="57">
        <f t="shared" ref="F27:X27" si="16">E27</f>
        <v>99667051.960000008</v>
      </c>
      <c r="G27" s="57">
        <f>F27</f>
        <v>99667051.960000008</v>
      </c>
      <c r="H27" s="57">
        <f t="shared" si="16"/>
        <v>99667051.960000008</v>
      </c>
      <c r="I27" s="57">
        <f>H27</f>
        <v>99667051.960000008</v>
      </c>
      <c r="J27" s="57">
        <f t="shared" si="16"/>
        <v>99667051.960000008</v>
      </c>
      <c r="K27" s="57">
        <f t="shared" si="16"/>
        <v>99667051.960000008</v>
      </c>
      <c r="L27" s="57">
        <f t="shared" si="16"/>
        <v>99667051.960000008</v>
      </c>
      <c r="M27" s="57">
        <f>L27</f>
        <v>99667051.960000008</v>
      </c>
      <c r="N27" s="57">
        <f t="shared" si="16"/>
        <v>99667051.960000008</v>
      </c>
      <c r="O27" s="57">
        <f t="shared" si="16"/>
        <v>99667051.960000008</v>
      </c>
      <c r="P27" s="57">
        <f t="shared" si="16"/>
        <v>99667051.960000008</v>
      </c>
      <c r="Q27" s="57">
        <f>P27</f>
        <v>99667051.960000008</v>
      </c>
      <c r="R27" s="57">
        <f t="shared" si="16"/>
        <v>99667051.960000008</v>
      </c>
      <c r="S27" s="57">
        <f t="shared" si="16"/>
        <v>99667051.960000008</v>
      </c>
      <c r="T27" s="57">
        <f t="shared" si="16"/>
        <v>99667051.960000008</v>
      </c>
      <c r="U27" s="57">
        <f>T27</f>
        <v>99667051.960000008</v>
      </c>
      <c r="V27" s="57">
        <f t="shared" si="16"/>
        <v>99667051.960000008</v>
      </c>
      <c r="W27" s="57">
        <f t="shared" si="16"/>
        <v>99667051.960000008</v>
      </c>
      <c r="X27" s="57">
        <f t="shared" si="16"/>
        <v>99667051.960000008</v>
      </c>
    </row>
    <row r="28" spans="1:25">
      <c r="B28" s="57" t="s">
        <v>315</v>
      </c>
      <c r="C28" s="71">
        <v>181626295.2674998</v>
      </c>
      <c r="D28" s="71"/>
      <c r="E28" s="57">
        <f>C28</f>
        <v>181626295.2674998</v>
      </c>
      <c r="F28" s="57">
        <f t="shared" ref="F28:X28" si="17">E28</f>
        <v>181626295.2674998</v>
      </c>
      <c r="G28" s="57">
        <f>F28</f>
        <v>181626295.2674998</v>
      </c>
      <c r="H28" s="57">
        <f t="shared" si="17"/>
        <v>181626295.2674998</v>
      </c>
      <c r="I28" s="57">
        <f>H28</f>
        <v>181626295.2674998</v>
      </c>
      <c r="J28" s="57">
        <f t="shared" si="17"/>
        <v>181626295.2674998</v>
      </c>
      <c r="K28" s="57">
        <f t="shared" si="17"/>
        <v>181626295.2674998</v>
      </c>
      <c r="L28" s="57">
        <f t="shared" si="17"/>
        <v>181626295.2674998</v>
      </c>
      <c r="M28" s="57">
        <f>L28</f>
        <v>181626295.2674998</v>
      </c>
      <c r="N28" s="57">
        <f t="shared" si="17"/>
        <v>181626295.2674998</v>
      </c>
      <c r="O28" s="57">
        <f t="shared" si="17"/>
        <v>181626295.2674998</v>
      </c>
      <c r="P28" s="57">
        <f t="shared" si="17"/>
        <v>181626295.2674998</v>
      </c>
      <c r="Q28" s="57">
        <f>P28</f>
        <v>181626295.2674998</v>
      </c>
      <c r="R28" s="57">
        <f t="shared" si="17"/>
        <v>181626295.2674998</v>
      </c>
      <c r="S28" s="57">
        <f t="shared" si="17"/>
        <v>181626295.2674998</v>
      </c>
      <c r="T28" s="57">
        <f t="shared" si="17"/>
        <v>181626295.2674998</v>
      </c>
      <c r="U28" s="57">
        <f>T28</f>
        <v>181626295.2674998</v>
      </c>
      <c r="V28" s="57">
        <f t="shared" si="17"/>
        <v>181626295.2674998</v>
      </c>
      <c r="W28" s="57">
        <f t="shared" si="17"/>
        <v>181626295.2674998</v>
      </c>
      <c r="X28" s="57">
        <f t="shared" si="17"/>
        <v>181626295.2674998</v>
      </c>
    </row>
    <row r="29" spans="1:25">
      <c r="C29" s="71"/>
      <c r="D29" s="71"/>
    </row>
    <row r="30" spans="1:25">
      <c r="A30" s="101" t="s">
        <v>367</v>
      </c>
      <c r="B30" s="61" t="s">
        <v>126</v>
      </c>
      <c r="C30" s="70"/>
      <c r="D30" s="70"/>
    </row>
    <row r="31" spans="1:25">
      <c r="B31" s="57" t="s">
        <v>138</v>
      </c>
      <c r="C31" s="71">
        <f>2149075099.33</f>
        <v>2149075099.3299999</v>
      </c>
      <c r="D31" s="71"/>
      <c r="E31" s="57">
        <f>E177</f>
        <v>3097674737.1968412</v>
      </c>
      <c r="F31" s="57">
        <f>F177</f>
        <v>3023805192.1450863</v>
      </c>
      <c r="G31" s="57">
        <f>G177</f>
        <v>2948559391.7521667</v>
      </c>
      <c r="H31" s="57">
        <f t="shared" ref="H31:X31" si="18">H177</f>
        <v>2871910657.4142442</v>
      </c>
      <c r="I31" s="57">
        <f t="shared" si="18"/>
        <v>2793831774.5660133</v>
      </c>
      <c r="J31" s="57">
        <f t="shared" si="18"/>
        <v>2714294981.5861769</v>
      </c>
      <c r="K31" s="57">
        <f t="shared" si="18"/>
        <v>1427204752.8536782</v>
      </c>
      <c r="L31" s="57">
        <f t="shared" si="18"/>
        <v>1385535901.1464834</v>
      </c>
      <c r="M31" s="57">
        <f t="shared" si="18"/>
        <v>1343242016.6636806</v>
      </c>
      <c r="N31" s="57">
        <f t="shared" si="18"/>
        <v>1300313723.9136357</v>
      </c>
      <c r="O31" s="57">
        <f t="shared" si="18"/>
        <v>1256741506.7723403</v>
      </c>
      <c r="P31" s="74">
        <f t="shared" si="18"/>
        <v>1212515706.3739254</v>
      </c>
      <c r="Q31" s="74">
        <f t="shared" si="18"/>
        <v>1167626518.9695344</v>
      </c>
      <c r="R31" s="74">
        <f t="shared" si="18"/>
        <v>1122063993.7540774</v>
      </c>
      <c r="S31" s="74">
        <f t="shared" si="18"/>
        <v>1075818030.6603887</v>
      </c>
      <c r="T31" s="74">
        <f t="shared" si="18"/>
        <v>1028878378.1202946</v>
      </c>
      <c r="U31" s="74">
        <f t="shared" si="18"/>
        <v>981234630.792099</v>
      </c>
      <c r="V31" s="74">
        <f t="shared" si="18"/>
        <v>932876227.25398052</v>
      </c>
      <c r="W31" s="74">
        <f t="shared" si="18"/>
        <v>883792447.66279018</v>
      </c>
      <c r="X31" s="74">
        <f t="shared" si="18"/>
        <v>833972411.37773204</v>
      </c>
    </row>
    <row r="32" spans="1:25">
      <c r="B32" s="57" t="s">
        <v>127</v>
      </c>
      <c r="C32" s="71">
        <v>9892721.2801858895</v>
      </c>
      <c r="D32" s="71"/>
      <c r="E32" s="57">
        <f>C32</f>
        <v>9892721.2801858895</v>
      </c>
      <c r="F32" s="57">
        <f>E32</f>
        <v>9892721.2801858895</v>
      </c>
      <c r="G32" s="57">
        <f>F32</f>
        <v>9892721.2801858895</v>
      </c>
      <c r="H32" s="57">
        <f t="shared" ref="H32:X32" si="19">G32</f>
        <v>9892721.2801858895</v>
      </c>
      <c r="I32" s="57">
        <f>H32</f>
        <v>9892721.2801858895</v>
      </c>
      <c r="J32" s="57">
        <f t="shared" si="19"/>
        <v>9892721.2801858895</v>
      </c>
      <c r="K32" s="57">
        <f t="shared" si="19"/>
        <v>9892721.2801858895</v>
      </c>
      <c r="L32" s="57">
        <f t="shared" si="19"/>
        <v>9892721.2801858895</v>
      </c>
      <c r="M32" s="57">
        <f>L32</f>
        <v>9892721.2801858895</v>
      </c>
      <c r="N32" s="57">
        <f t="shared" si="19"/>
        <v>9892721.2801858895</v>
      </c>
      <c r="O32" s="57">
        <f t="shared" si="19"/>
        <v>9892721.2801858895</v>
      </c>
      <c r="P32" s="57">
        <f t="shared" si="19"/>
        <v>9892721.2801858895</v>
      </c>
      <c r="Q32" s="57">
        <f>P32</f>
        <v>9892721.2801858895</v>
      </c>
      <c r="R32" s="57">
        <f t="shared" si="19"/>
        <v>9892721.2801858895</v>
      </c>
      <c r="S32" s="57">
        <f t="shared" si="19"/>
        <v>9892721.2801858895</v>
      </c>
      <c r="T32" s="57">
        <f t="shared" si="19"/>
        <v>9892721.2801858895</v>
      </c>
      <c r="U32" s="57">
        <f>T32</f>
        <v>9892721.2801858895</v>
      </c>
      <c r="V32" s="57">
        <f t="shared" si="19"/>
        <v>9892721.2801858895</v>
      </c>
      <c r="W32" s="57">
        <f t="shared" si="19"/>
        <v>9892721.2801858895</v>
      </c>
      <c r="X32" s="57">
        <f t="shared" si="19"/>
        <v>9892721.2801858895</v>
      </c>
    </row>
    <row r="33" spans="1:25">
      <c r="C33" s="71"/>
      <c r="D33" s="71"/>
    </row>
    <row r="34" spans="1:25" s="61" customFormat="1">
      <c r="A34" s="101" t="s">
        <v>367</v>
      </c>
      <c r="B34" s="95" t="s">
        <v>129</v>
      </c>
      <c r="C34" s="95">
        <f>SUM(C25:C32)</f>
        <v>4080746577.7876859</v>
      </c>
      <c r="D34" s="95"/>
      <c r="E34" s="95">
        <f t="shared" ref="E34:X34" si="20">SUM(E25:E32)</f>
        <v>3389870191.5378599</v>
      </c>
      <c r="F34" s="95">
        <f t="shared" si="20"/>
        <v>3316025881.1319385</v>
      </c>
      <c r="G34" s="95">
        <f t="shared" si="20"/>
        <v>3375887431.287878</v>
      </c>
      <c r="H34" s="95">
        <f t="shared" si="20"/>
        <v>4322492241.7298346</v>
      </c>
      <c r="I34" s="95">
        <f t="shared" si="20"/>
        <v>3085513118.3398495</v>
      </c>
      <c r="J34" s="95">
        <f t="shared" si="20"/>
        <v>3005979149.7320485</v>
      </c>
      <c r="K34" s="95">
        <f t="shared" si="20"/>
        <v>1719033885.0840557</v>
      </c>
      <c r="L34" s="95">
        <f t="shared" si="20"/>
        <v>2636254774.5371752</v>
      </c>
      <c r="M34" s="95">
        <f t="shared" si="20"/>
        <v>1635274157.7896943</v>
      </c>
      <c r="N34" s="95">
        <f t="shared" si="20"/>
        <v>1592348982.6179101</v>
      </c>
      <c r="O34" s="95">
        <f t="shared" si="20"/>
        <v>1548608613.4308345</v>
      </c>
      <c r="P34" s="95">
        <f t="shared" si="20"/>
        <v>2463283973.3536348</v>
      </c>
      <c r="Q34" s="95">
        <f t="shared" si="20"/>
        <v>1459691369.4356015</v>
      </c>
      <c r="R34" s="95">
        <f t="shared" si="20"/>
        <v>1414132285.4432161</v>
      </c>
      <c r="S34" s="95">
        <f t="shared" si="20"/>
        <v>1367757390.9285672</v>
      </c>
      <c r="T34" s="95">
        <f t="shared" si="20"/>
        <v>2279704349.8501291</v>
      </c>
      <c r="U34" s="95">
        <f t="shared" si="20"/>
        <v>1273516101.5860677</v>
      </c>
      <c r="V34" s="95">
        <f t="shared" si="20"/>
        <v>1225162256.2076123</v>
      </c>
      <c r="W34" s="95">
        <f t="shared" si="20"/>
        <v>1175977531.6538799</v>
      </c>
      <c r="X34" s="95">
        <f t="shared" si="20"/>
        <v>2085033146.9786515</v>
      </c>
    </row>
    <row r="35" spans="1:25">
      <c r="C35" s="71"/>
      <c r="D35" s="71"/>
    </row>
    <row r="36" spans="1:25">
      <c r="B36" s="61" t="s">
        <v>130</v>
      </c>
      <c r="C36" s="70"/>
      <c r="D36" s="70"/>
    </row>
    <row r="37" spans="1:25">
      <c r="B37" s="57" t="s">
        <v>131</v>
      </c>
      <c r="C37" s="71">
        <v>57179000</v>
      </c>
      <c r="D37" s="71"/>
      <c r="E37" s="57">
        <f>C37</f>
        <v>57179000</v>
      </c>
      <c r="F37" s="57">
        <f t="shared" ref="F37:X37" si="21">E37</f>
        <v>57179000</v>
      </c>
      <c r="G37" s="57">
        <f t="shared" si="21"/>
        <v>57179000</v>
      </c>
      <c r="H37" s="57">
        <f t="shared" si="21"/>
        <v>57179000</v>
      </c>
      <c r="I37" s="57">
        <f>H37</f>
        <v>57179000</v>
      </c>
      <c r="J37" s="57">
        <f t="shared" si="21"/>
        <v>57179000</v>
      </c>
      <c r="K37" s="57">
        <f t="shared" si="21"/>
        <v>57179000</v>
      </c>
      <c r="L37" s="57">
        <f t="shared" si="21"/>
        <v>57179000</v>
      </c>
      <c r="M37" s="57">
        <f>L37</f>
        <v>57179000</v>
      </c>
      <c r="N37" s="57">
        <f t="shared" si="21"/>
        <v>57179000</v>
      </c>
      <c r="O37" s="57">
        <f t="shared" si="21"/>
        <v>57179000</v>
      </c>
      <c r="P37" s="57">
        <f t="shared" si="21"/>
        <v>57179000</v>
      </c>
      <c r="Q37" s="57">
        <f>P37</f>
        <v>57179000</v>
      </c>
      <c r="R37" s="57">
        <f t="shared" si="21"/>
        <v>57179000</v>
      </c>
      <c r="S37" s="57">
        <f t="shared" si="21"/>
        <v>57179000</v>
      </c>
      <c r="T37" s="57">
        <f t="shared" si="21"/>
        <v>57179000</v>
      </c>
      <c r="U37" s="57">
        <f>T37</f>
        <v>57179000</v>
      </c>
      <c r="V37" s="57">
        <f t="shared" si="21"/>
        <v>57179000</v>
      </c>
      <c r="W37" s="57">
        <f t="shared" si="21"/>
        <v>57179000</v>
      </c>
      <c r="X37" s="57">
        <f t="shared" si="21"/>
        <v>57179000</v>
      </c>
    </row>
    <row r="38" spans="1:25">
      <c r="B38" s="57" t="s">
        <v>132</v>
      </c>
      <c r="C38" s="71">
        <v>1156898903.3023131</v>
      </c>
      <c r="D38" s="71"/>
      <c r="E38" s="57">
        <f>C38+PL!E53</f>
        <v>1214837504.3154836</v>
      </c>
      <c r="F38" s="57">
        <f>E38+PL!F53</f>
        <v>1242202209.8648648</v>
      </c>
      <c r="G38" s="57">
        <f>F38+PL!G53</f>
        <v>1548206435.3769352</v>
      </c>
      <c r="H38" s="57">
        <f>G38+PL!H53</f>
        <v>1921391668.2001061</v>
      </c>
      <c r="I38" s="57">
        <f>H38+PL!J53</f>
        <v>2243463227.8556757</v>
      </c>
      <c r="J38" s="57">
        <f>I38+PL!K53</f>
        <v>2564916499.340467</v>
      </c>
      <c r="K38" s="57">
        <f>J38+PL!L53</f>
        <v>2935880457.4067273</v>
      </c>
      <c r="L38" s="57">
        <f>K38+PL!M53</f>
        <v>3622659623.4164181</v>
      </c>
      <c r="M38" s="57">
        <f>L38+PL!O53</f>
        <v>4257331259.3038502</v>
      </c>
      <c r="N38" s="57">
        <f>M38+PL!P53</f>
        <v>4857508529.5985651</v>
      </c>
      <c r="O38" s="57">
        <f>N38+PL!Q53</f>
        <v>5341632071.6632757</v>
      </c>
      <c r="P38" s="57">
        <f>O38+PL!R53</f>
        <v>6092642897.2936726</v>
      </c>
      <c r="Q38" s="57">
        <f>P38+PL!T53</f>
        <v>6781353867.6783695</v>
      </c>
      <c r="R38" s="57">
        <f>Q38+PL!U53</f>
        <v>7416812691.2543373</v>
      </c>
      <c r="S38" s="57">
        <f>R38+PL!V53</f>
        <v>8051314303.37714</v>
      </c>
      <c r="T38" s="57">
        <f>S38+PL!W53</f>
        <v>8856005579.8011475</v>
      </c>
      <c r="U38" s="57">
        <f>T38+PL!Y53</f>
        <v>9581357799.3343353</v>
      </c>
      <c r="V38" s="57">
        <f>U38+PL!Z53</f>
        <v>10288283713.067011</v>
      </c>
      <c r="W38" s="57">
        <f>V38+PL!AA53</f>
        <v>10988067269.725828</v>
      </c>
      <c r="X38" s="57">
        <f>W38+PL!AB53</f>
        <v>11870489428.368547</v>
      </c>
    </row>
    <row r="39" spans="1:25">
      <c r="B39" s="57" t="s">
        <v>316</v>
      </c>
      <c r="C39" s="71">
        <v>15772050</v>
      </c>
      <c r="D39" s="71"/>
      <c r="E39" s="57">
        <f>C39</f>
        <v>15772050</v>
      </c>
      <c r="F39" s="57">
        <f t="shared" ref="F39:X39" si="22">E39</f>
        <v>15772050</v>
      </c>
      <c r="G39" s="57">
        <f t="shared" si="22"/>
        <v>15772050</v>
      </c>
      <c r="H39" s="57">
        <f t="shared" si="22"/>
        <v>15772050</v>
      </c>
      <c r="I39" s="57">
        <f>H39</f>
        <v>15772050</v>
      </c>
      <c r="J39" s="57">
        <f t="shared" si="22"/>
        <v>15772050</v>
      </c>
      <c r="K39" s="57">
        <f t="shared" si="22"/>
        <v>15772050</v>
      </c>
      <c r="L39" s="57">
        <f t="shared" si="22"/>
        <v>15772050</v>
      </c>
      <c r="M39" s="57">
        <f>L39</f>
        <v>15772050</v>
      </c>
      <c r="N39" s="57">
        <f t="shared" si="22"/>
        <v>15772050</v>
      </c>
      <c r="O39" s="57">
        <f t="shared" si="22"/>
        <v>15772050</v>
      </c>
      <c r="P39" s="57">
        <f t="shared" si="22"/>
        <v>15772050</v>
      </c>
      <c r="Q39" s="57">
        <f>P39</f>
        <v>15772050</v>
      </c>
      <c r="R39" s="57">
        <f t="shared" si="22"/>
        <v>15772050</v>
      </c>
      <c r="S39" s="57">
        <f t="shared" si="22"/>
        <v>15772050</v>
      </c>
      <c r="T39" s="57">
        <f t="shared" si="22"/>
        <v>15772050</v>
      </c>
      <c r="U39" s="57">
        <f>T39</f>
        <v>15772050</v>
      </c>
      <c r="V39" s="57">
        <f t="shared" si="22"/>
        <v>15772050</v>
      </c>
      <c r="W39" s="57">
        <f t="shared" si="22"/>
        <v>15772050</v>
      </c>
      <c r="X39" s="57">
        <f t="shared" si="22"/>
        <v>15772050</v>
      </c>
    </row>
    <row r="40" spans="1:25">
      <c r="C40" s="71"/>
      <c r="D40" s="71"/>
    </row>
    <row r="41" spans="1:25" s="61" customFormat="1">
      <c r="A41" s="101" t="s">
        <v>367</v>
      </c>
      <c r="B41" s="95" t="s">
        <v>139</v>
      </c>
      <c r="C41" s="95">
        <f>SUM(C37:C39)</f>
        <v>1229849953.3023131</v>
      </c>
      <c r="D41" s="95"/>
      <c r="E41" s="95">
        <f t="shared" ref="E41:X41" si="23">SUM(E37:E39)</f>
        <v>1287788554.3154836</v>
      </c>
      <c r="F41" s="95">
        <f>SUM(F37:F39)</f>
        <v>1315153259.8648648</v>
      </c>
      <c r="G41" s="95">
        <f>SUM(G37:G39)</f>
        <v>1621157485.3769352</v>
      </c>
      <c r="H41" s="95">
        <f t="shared" si="23"/>
        <v>1994342718.2001061</v>
      </c>
      <c r="I41" s="95">
        <f>SUM(I37:I39)</f>
        <v>2316414277.8556757</v>
      </c>
      <c r="J41" s="95">
        <f>SUM(J37:J39)</f>
        <v>2637867549.340467</v>
      </c>
      <c r="K41" s="95">
        <f t="shared" si="23"/>
        <v>3008831507.4067273</v>
      </c>
      <c r="L41" s="95">
        <f t="shared" si="23"/>
        <v>3695610673.4164181</v>
      </c>
      <c r="M41" s="95">
        <f t="shared" si="23"/>
        <v>4330282309.3038502</v>
      </c>
      <c r="N41" s="95">
        <f t="shared" si="23"/>
        <v>4930459579.5985651</v>
      </c>
      <c r="O41" s="95">
        <f t="shared" si="23"/>
        <v>5414583121.6632757</v>
      </c>
      <c r="P41" s="95">
        <f t="shared" si="23"/>
        <v>6165593947.2936726</v>
      </c>
      <c r="Q41" s="95">
        <f t="shared" si="23"/>
        <v>6854304917.6783695</v>
      </c>
      <c r="R41" s="95">
        <f t="shared" si="23"/>
        <v>7489763741.2543373</v>
      </c>
      <c r="S41" s="95">
        <f t="shared" si="23"/>
        <v>8124265353.37714</v>
      </c>
      <c r="T41" s="95">
        <f t="shared" si="23"/>
        <v>8928956629.8011475</v>
      </c>
      <c r="U41" s="95">
        <f t="shared" si="23"/>
        <v>9654308849.3343353</v>
      </c>
      <c r="V41" s="95">
        <f t="shared" si="23"/>
        <v>10361234763.067011</v>
      </c>
      <c r="W41" s="95">
        <f t="shared" si="23"/>
        <v>11061018319.725828</v>
      </c>
      <c r="X41" s="95">
        <f t="shared" si="23"/>
        <v>11943440478.368547</v>
      </c>
    </row>
    <row r="42" spans="1:25">
      <c r="C42" s="71"/>
      <c r="D42" s="71"/>
    </row>
    <row r="43" spans="1:25" s="68" customFormat="1">
      <c r="A43" s="57"/>
      <c r="B43" s="95" t="s">
        <v>136</v>
      </c>
      <c r="C43" s="95">
        <f>SUM(C34,C41)</f>
        <v>5310596531.0899992</v>
      </c>
      <c r="D43" s="95"/>
      <c r="E43" s="95">
        <f>SUM(E34,E41)</f>
        <v>4677658745.853344</v>
      </c>
      <c r="F43" s="95">
        <f t="shared" ref="F43:X43" si="24">SUM(F34,F41)</f>
        <v>4631179140.9968033</v>
      </c>
      <c r="G43" s="95">
        <f t="shared" si="24"/>
        <v>4997044916.664813</v>
      </c>
      <c r="H43" s="95">
        <f t="shared" si="24"/>
        <v>6316834959.9299412</v>
      </c>
      <c r="I43" s="95">
        <f t="shared" si="24"/>
        <v>5401927396.1955252</v>
      </c>
      <c r="J43" s="95">
        <f t="shared" si="24"/>
        <v>5643846699.0725155</v>
      </c>
      <c r="K43" s="95">
        <f>SUM(K34,K41)</f>
        <v>4727865392.4907827</v>
      </c>
      <c r="L43" s="95">
        <f t="shared" si="24"/>
        <v>6331865447.9535933</v>
      </c>
      <c r="M43" s="95">
        <f t="shared" si="24"/>
        <v>5965556467.093544</v>
      </c>
      <c r="N43" s="95">
        <f t="shared" si="24"/>
        <v>6522808562.2164755</v>
      </c>
      <c r="O43" s="95">
        <f t="shared" si="24"/>
        <v>6963191735.0941105</v>
      </c>
      <c r="P43" s="95">
        <f t="shared" si="24"/>
        <v>8628877920.6473083</v>
      </c>
      <c r="Q43" s="95">
        <f t="shared" si="24"/>
        <v>8313996287.1139708</v>
      </c>
      <c r="R43" s="95">
        <f t="shared" si="24"/>
        <v>8903896026.6975536</v>
      </c>
      <c r="S43" s="95">
        <f t="shared" si="24"/>
        <v>9492022744.3057079</v>
      </c>
      <c r="T43" s="95">
        <f t="shared" si="24"/>
        <v>11208660979.651276</v>
      </c>
      <c r="U43" s="95">
        <f t="shared" si="24"/>
        <v>10927824950.920403</v>
      </c>
      <c r="V43" s="95">
        <f t="shared" si="24"/>
        <v>11586397019.274624</v>
      </c>
      <c r="W43" s="95">
        <f t="shared" si="24"/>
        <v>12236995851.379707</v>
      </c>
      <c r="X43" s="95">
        <f t="shared" si="24"/>
        <v>14028473625.347198</v>
      </c>
      <c r="Y43" s="57"/>
    </row>
    <row r="44" spans="1:25" s="68" customFormat="1">
      <c r="A44" s="57"/>
      <c r="B44" s="95" t="s">
        <v>310</v>
      </c>
      <c r="C44" s="95">
        <f>C22-C43</f>
        <v>0</v>
      </c>
      <c r="D44" s="95"/>
      <c r="E44" s="95">
        <f t="shared" ref="E44:X44" si="25">E22-E43</f>
        <v>958974329.36000156</v>
      </c>
      <c r="F44" s="95">
        <f t="shared" si="25"/>
        <v>958974329.36000156</v>
      </c>
      <c r="G44" s="95">
        <f t="shared" si="25"/>
        <v>958974329.36000061</v>
      </c>
      <c r="H44" s="95">
        <f t="shared" si="25"/>
        <v>0</v>
      </c>
      <c r="I44" s="95">
        <f t="shared" si="25"/>
        <v>958974329.36000061</v>
      </c>
      <c r="J44" s="95">
        <f t="shared" si="25"/>
        <v>958974329.36000156</v>
      </c>
      <c r="K44" s="95">
        <f t="shared" si="25"/>
        <v>958974329.36000156</v>
      </c>
      <c r="L44" s="95">
        <f t="shared" si="25"/>
        <v>0</v>
      </c>
      <c r="M44" s="95">
        <f t="shared" si="25"/>
        <v>958974329.36000156</v>
      </c>
      <c r="N44" s="95">
        <f t="shared" si="25"/>
        <v>958974329.36000061</v>
      </c>
      <c r="O44" s="95">
        <f t="shared" si="25"/>
        <v>958974329.36000156</v>
      </c>
      <c r="P44" s="95">
        <f t="shared" si="25"/>
        <v>0</v>
      </c>
      <c r="Q44" s="95">
        <f t="shared" si="25"/>
        <v>958974329.36000156</v>
      </c>
      <c r="R44" s="95">
        <f t="shared" si="25"/>
        <v>958974329.36000252</v>
      </c>
      <c r="S44" s="95">
        <f t="shared" si="25"/>
        <v>958974329.36000252</v>
      </c>
      <c r="T44" s="95">
        <f t="shared" si="25"/>
        <v>0</v>
      </c>
      <c r="U44" s="95">
        <f t="shared" si="25"/>
        <v>958974329.36000252</v>
      </c>
      <c r="V44" s="95">
        <f t="shared" si="25"/>
        <v>958974329.36000061</v>
      </c>
      <c r="W44" s="95">
        <f t="shared" si="25"/>
        <v>958974329.36000061</v>
      </c>
      <c r="X44" s="95">
        <f t="shared" si="25"/>
        <v>0</v>
      </c>
      <c r="Y44" s="57"/>
    </row>
    <row r="46" spans="1:25" hidden="1"/>
    <row r="47" spans="1:25" ht="14.4" hidden="1">
      <c r="B47" s="96" t="s">
        <v>334</v>
      </c>
      <c r="C47" s="96">
        <f>SUM(C9:C13)</f>
        <v>2033039891.26</v>
      </c>
      <c r="D47" s="96"/>
      <c r="E47" s="96">
        <f t="shared" ref="E47:X47" si="26">SUM(E9:E13)</f>
        <v>1404031435.2928572</v>
      </c>
      <c r="F47" s="96">
        <f t="shared" si="26"/>
        <v>647459292.43571413</v>
      </c>
      <c r="G47" s="96">
        <f t="shared" si="26"/>
        <v>1541834525.6614311</v>
      </c>
      <c r="H47" s="96">
        <f t="shared" si="26"/>
        <v>2117796128.7087538</v>
      </c>
      <c r="I47" s="96">
        <f t="shared" si="26"/>
        <v>1549326240.655302</v>
      </c>
      <c r="J47" s="96">
        <f t="shared" si="26"/>
        <v>1025638092.3018878</v>
      </c>
      <c r="K47" s="96">
        <f t="shared" si="26"/>
        <v>7782619536.1694517</v>
      </c>
      <c r="L47" s="96">
        <f t="shared" si="26"/>
        <v>5467901415.118206</v>
      </c>
      <c r="M47" s="96">
        <f t="shared" si="26"/>
        <v>3219563710.5610142</v>
      </c>
      <c r="N47" s="96">
        <f t="shared" si="26"/>
        <v>1026697071.4029855</v>
      </c>
      <c r="O47" s="96">
        <f t="shared" si="26"/>
        <v>8212860406.0659132</v>
      </c>
      <c r="P47" s="96">
        <f t="shared" si="26"/>
        <v>5759602905.1890707</v>
      </c>
      <c r="Q47" s="96">
        <f t="shared" si="26"/>
        <v>3375914023.0792127</v>
      </c>
      <c r="R47" s="96">
        <f t="shared" si="26"/>
        <v>1056674902.6295021</v>
      </c>
      <c r="S47" s="96">
        <f t="shared" si="26"/>
        <v>8921643496.2235584</v>
      </c>
      <c r="T47" s="96">
        <f t="shared" si="26"/>
        <v>6235400095.8303432</v>
      </c>
      <c r="U47" s="96">
        <f t="shared" si="26"/>
        <v>3761206987.291256</v>
      </c>
      <c r="V47" s="96">
        <f t="shared" si="26"/>
        <v>1228861751.6763067</v>
      </c>
      <c r="W47" s="96">
        <f t="shared" si="26"/>
        <v>9722236009.3424168</v>
      </c>
      <c r="X47" s="96">
        <f t="shared" si="26"/>
        <v>6802086966.8240795</v>
      </c>
    </row>
    <row r="48" spans="1:25" ht="14.4" hidden="1">
      <c r="B48" s="96" t="s">
        <v>335</v>
      </c>
      <c r="C48" s="96">
        <f>SUM(C26:C28)</f>
        <v>962804427.81749988</v>
      </c>
      <c r="D48" s="96"/>
      <c r="E48" s="96">
        <f t="shared" ref="E48:X48" si="27">SUM(E26:E28)</f>
        <v>282302733.06083316</v>
      </c>
      <c r="F48" s="96">
        <f t="shared" si="27"/>
        <v>282327967.70666647</v>
      </c>
      <c r="G48" s="96">
        <f t="shared" si="27"/>
        <v>417435318.25552553</v>
      </c>
      <c r="H48" s="96">
        <f t="shared" si="27"/>
        <v>481714533.67540455</v>
      </c>
      <c r="I48" s="96">
        <f t="shared" si="27"/>
        <v>281788622.4936505</v>
      </c>
      <c r="J48" s="96">
        <f t="shared" si="27"/>
        <v>281791446.86568594</v>
      </c>
      <c r="K48" s="96">
        <f t="shared" si="27"/>
        <v>281936410.95019162</v>
      </c>
      <c r="L48" s="96">
        <f t="shared" si="27"/>
        <v>281851822.75050581</v>
      </c>
      <c r="M48" s="96">
        <f t="shared" si="27"/>
        <v>282139419.84582782</v>
      </c>
      <c r="N48" s="96">
        <f t="shared" si="27"/>
        <v>282142537.42408848</v>
      </c>
      <c r="O48" s="96">
        <f t="shared" si="27"/>
        <v>281974385.3783083</v>
      </c>
      <c r="P48" s="96">
        <f t="shared" si="27"/>
        <v>281901216.33952391</v>
      </c>
      <c r="Q48" s="96">
        <f t="shared" si="27"/>
        <v>282172129.18588108</v>
      </c>
      <c r="R48" s="96">
        <f t="shared" si="27"/>
        <v>282175570.40895271</v>
      </c>
      <c r="S48" s="96">
        <f t="shared" si="27"/>
        <v>282046638.98799264</v>
      </c>
      <c r="T48" s="96">
        <f t="shared" si="27"/>
        <v>281958921.08964896</v>
      </c>
      <c r="U48" s="96">
        <f t="shared" si="27"/>
        <v>282388749.51378268</v>
      </c>
      <c r="V48" s="96">
        <f t="shared" si="27"/>
        <v>282393307.67344588</v>
      </c>
      <c r="W48" s="96">
        <f t="shared" si="27"/>
        <v>282292362.71090382</v>
      </c>
      <c r="X48" s="96">
        <f t="shared" si="27"/>
        <v>282193684.96073329</v>
      </c>
    </row>
    <row r="49" spans="1:24" ht="14.4" hidden="1">
      <c r="B49" s="96" t="s">
        <v>336</v>
      </c>
      <c r="C49" s="96">
        <f>C47-C48</f>
        <v>1070235463.4425001</v>
      </c>
      <c r="D49" s="96"/>
      <c r="E49" s="96">
        <f>E47-E48</f>
        <v>1121728702.232024</v>
      </c>
      <c r="F49" s="96">
        <f t="shared" ref="F49:X49" si="28">F47-F48</f>
        <v>365131324.72904766</v>
      </c>
      <c r="G49" s="96">
        <f t="shared" si="28"/>
        <v>1124399207.4059055</v>
      </c>
      <c r="H49" s="96">
        <f t="shared" si="28"/>
        <v>1636081595.0333493</v>
      </c>
      <c r="I49" s="96">
        <f t="shared" si="28"/>
        <v>1267537618.1616516</v>
      </c>
      <c r="J49" s="96">
        <f>J47-J48</f>
        <v>743846645.43620181</v>
      </c>
      <c r="K49" s="96">
        <f>K47-K48</f>
        <v>7500683125.2192602</v>
      </c>
      <c r="L49" s="96">
        <f>L47-L48</f>
        <v>5186049592.3677006</v>
      </c>
      <c r="M49" s="96">
        <f t="shared" si="28"/>
        <v>2937424290.7151861</v>
      </c>
      <c r="N49" s="96">
        <f t="shared" si="28"/>
        <v>744554533.97889698</v>
      </c>
      <c r="O49" s="96">
        <f t="shared" si="28"/>
        <v>7930886020.6876049</v>
      </c>
      <c r="P49" s="96">
        <f t="shared" si="28"/>
        <v>5477701688.8495464</v>
      </c>
      <c r="Q49" s="96">
        <f t="shared" si="28"/>
        <v>3093741893.8933315</v>
      </c>
      <c r="R49" s="96">
        <f t="shared" si="28"/>
        <v>774499332.22054935</v>
      </c>
      <c r="S49" s="96">
        <f t="shared" si="28"/>
        <v>8639596857.2355652</v>
      </c>
      <c r="T49" s="96">
        <f t="shared" si="28"/>
        <v>5953441174.740694</v>
      </c>
      <c r="U49" s="96">
        <f t="shared" si="28"/>
        <v>3478818237.7774734</v>
      </c>
      <c r="V49" s="96">
        <f t="shared" si="28"/>
        <v>946468444.00286078</v>
      </c>
      <c r="W49" s="96">
        <f t="shared" si="28"/>
        <v>9439943646.6315136</v>
      </c>
      <c r="X49" s="96">
        <f t="shared" si="28"/>
        <v>6519893281.8633461</v>
      </c>
    </row>
    <row r="50" spans="1:24" s="61" customFormat="1" ht="14.4" hidden="1">
      <c r="B50" s="97" t="s">
        <v>337</v>
      </c>
      <c r="C50" s="97"/>
      <c r="D50" s="97"/>
      <c r="E50" s="97">
        <f>E49-C49</f>
        <v>51493238.78952384</v>
      </c>
      <c r="F50" s="97">
        <f t="shared" ref="F50:X50" si="29">F49-E49</f>
        <v>-756597377.5029763</v>
      </c>
      <c r="G50" s="97">
        <f t="shared" si="29"/>
        <v>759267882.67685783</v>
      </c>
      <c r="H50" s="97">
        <f t="shared" si="29"/>
        <v>511682387.62744379</v>
      </c>
      <c r="I50" s="97">
        <f>I49-H49</f>
        <v>-368543976.87169766</v>
      </c>
      <c r="J50" s="97">
        <f t="shared" si="29"/>
        <v>-523690972.7254498</v>
      </c>
      <c r="K50" s="96">
        <f>K49-J49</f>
        <v>6756836479.7830582</v>
      </c>
      <c r="L50" s="97">
        <f>L49-K49</f>
        <v>-2314633532.8515596</v>
      </c>
      <c r="M50" s="97">
        <f>M49-L49</f>
        <v>-2248625301.6525145</v>
      </c>
      <c r="N50" s="97">
        <f t="shared" si="29"/>
        <v>-2192869756.736289</v>
      </c>
      <c r="O50" s="97">
        <f t="shared" si="29"/>
        <v>7186331486.7087078</v>
      </c>
      <c r="P50" s="97">
        <f t="shared" si="29"/>
        <v>-2453184331.8380585</v>
      </c>
      <c r="Q50" s="97">
        <f>Q49-P49</f>
        <v>-2383959794.9562149</v>
      </c>
      <c r="R50" s="97">
        <f t="shared" si="29"/>
        <v>-2319242561.6727819</v>
      </c>
      <c r="S50" s="97">
        <f t="shared" si="29"/>
        <v>7865097525.0150156</v>
      </c>
      <c r="T50" s="97">
        <f t="shared" si="29"/>
        <v>-2686155682.4948711</v>
      </c>
      <c r="U50" s="97">
        <f>U49-T49</f>
        <v>-2474622936.9632206</v>
      </c>
      <c r="V50" s="97">
        <f t="shared" si="29"/>
        <v>-2532349793.7746124</v>
      </c>
      <c r="W50" s="97">
        <f t="shared" si="29"/>
        <v>8493475202.6286526</v>
      </c>
      <c r="X50" s="97">
        <f t="shared" si="29"/>
        <v>-2920050364.7681675</v>
      </c>
    </row>
    <row r="51" spans="1:24" hidden="1"/>
    <row r="52" spans="1:24" hidden="1">
      <c r="A52" s="101" t="s">
        <v>367</v>
      </c>
      <c r="B52" s="61" t="s">
        <v>295</v>
      </c>
    </row>
    <row r="53" spans="1:24" hidden="1" outlineLevel="1">
      <c r="B53" s="71" t="s">
        <v>60</v>
      </c>
      <c r="C53" s="71"/>
      <c r="D53" s="71"/>
      <c r="E53" s="121">
        <f>360/4</f>
        <v>90</v>
      </c>
      <c r="F53" s="121">
        <f t="shared" ref="F53:T53" si="30">360/4</f>
        <v>90</v>
      </c>
      <c r="G53" s="121">
        <f>360/4</f>
        <v>90</v>
      </c>
      <c r="H53" s="121">
        <f t="shared" si="30"/>
        <v>90</v>
      </c>
      <c r="I53" s="121">
        <f>360/4</f>
        <v>90</v>
      </c>
      <c r="J53" s="121">
        <f>360/4</f>
        <v>90</v>
      </c>
      <c r="K53" s="121">
        <f t="shared" si="30"/>
        <v>90</v>
      </c>
      <c r="L53" s="121">
        <f>360/4</f>
        <v>90</v>
      </c>
      <c r="M53" s="121">
        <f t="shared" si="30"/>
        <v>90</v>
      </c>
      <c r="N53" s="121">
        <f t="shared" si="30"/>
        <v>90</v>
      </c>
      <c r="O53" s="121">
        <f t="shared" si="30"/>
        <v>90</v>
      </c>
      <c r="P53" s="121">
        <f t="shared" si="30"/>
        <v>90</v>
      </c>
      <c r="Q53" s="121">
        <f t="shared" si="30"/>
        <v>90</v>
      </c>
      <c r="R53" s="121">
        <f t="shared" si="30"/>
        <v>90</v>
      </c>
      <c r="S53" s="121">
        <f t="shared" si="30"/>
        <v>90</v>
      </c>
      <c r="T53" s="121">
        <f t="shared" si="30"/>
        <v>90</v>
      </c>
      <c r="U53" s="121">
        <f>PL!Y2</f>
        <v>75</v>
      </c>
      <c r="V53" s="121">
        <f>PL!Z2</f>
        <v>75</v>
      </c>
      <c r="W53" s="121">
        <f>PL!AA2</f>
        <v>75</v>
      </c>
      <c r="X53" s="121">
        <f>PL!AB2</f>
        <v>75</v>
      </c>
    </row>
    <row r="54" spans="1:24" hidden="1" outlineLevel="1">
      <c r="B54" s="57" t="s">
        <v>257</v>
      </c>
      <c r="E54" s="57">
        <v>26</v>
      </c>
      <c r="F54" s="57">
        <f>E54</f>
        <v>26</v>
      </c>
      <c r="G54" s="57">
        <f>F54</f>
        <v>26</v>
      </c>
      <c r="H54" s="57">
        <f t="shared" ref="H54:X54" si="31">G54</f>
        <v>26</v>
      </c>
      <c r="I54" s="57">
        <f>H54</f>
        <v>26</v>
      </c>
      <c r="J54" s="57">
        <f t="shared" si="31"/>
        <v>26</v>
      </c>
      <c r="K54" s="57">
        <f t="shared" si="31"/>
        <v>26</v>
      </c>
      <c r="L54" s="57">
        <f t="shared" si="31"/>
        <v>26</v>
      </c>
      <c r="M54" s="57">
        <f t="shared" ref="M54:M60" si="32">L54</f>
        <v>26</v>
      </c>
      <c r="N54" s="57">
        <f t="shared" si="31"/>
        <v>26</v>
      </c>
      <c r="O54" s="57">
        <f t="shared" si="31"/>
        <v>26</v>
      </c>
      <c r="P54" s="57">
        <f t="shared" si="31"/>
        <v>26</v>
      </c>
      <c r="Q54" s="57">
        <f t="shared" ref="Q54:Q60" si="33">P54</f>
        <v>26</v>
      </c>
      <c r="R54" s="57">
        <f t="shared" si="31"/>
        <v>26</v>
      </c>
      <c r="S54" s="57">
        <f t="shared" si="31"/>
        <v>26</v>
      </c>
      <c r="T54" s="57">
        <f t="shared" si="31"/>
        <v>26</v>
      </c>
      <c r="U54" s="57">
        <f t="shared" ref="U54:U60" si="34">T54</f>
        <v>26</v>
      </c>
      <c r="V54" s="57">
        <f t="shared" si="31"/>
        <v>26</v>
      </c>
      <c r="W54" s="57">
        <f t="shared" si="31"/>
        <v>26</v>
      </c>
      <c r="X54" s="57">
        <f t="shared" si="31"/>
        <v>26</v>
      </c>
    </row>
    <row r="55" spans="1:24" hidden="1" outlineLevel="1">
      <c r="B55" s="57" t="s">
        <v>259</v>
      </c>
      <c r="E55" s="57">
        <v>3</v>
      </c>
      <c r="F55" s="57">
        <f t="shared" ref="F55:X55" si="35">E55</f>
        <v>3</v>
      </c>
      <c r="G55" s="57">
        <f t="shared" si="35"/>
        <v>3</v>
      </c>
      <c r="H55" s="57">
        <f t="shared" si="35"/>
        <v>3</v>
      </c>
      <c r="I55" s="57">
        <v>7</v>
      </c>
      <c r="J55" s="57">
        <f t="shared" si="35"/>
        <v>7</v>
      </c>
      <c r="K55" s="57">
        <v>3</v>
      </c>
      <c r="L55" s="57">
        <f t="shared" si="35"/>
        <v>3</v>
      </c>
      <c r="M55" s="57">
        <f t="shared" si="32"/>
        <v>3</v>
      </c>
      <c r="N55" s="57">
        <f t="shared" si="35"/>
        <v>3</v>
      </c>
      <c r="O55" s="57">
        <f t="shared" si="35"/>
        <v>3</v>
      </c>
      <c r="P55" s="57">
        <f t="shared" si="35"/>
        <v>3</v>
      </c>
      <c r="Q55" s="57">
        <f t="shared" si="33"/>
        <v>3</v>
      </c>
      <c r="R55" s="57">
        <f t="shared" si="35"/>
        <v>3</v>
      </c>
      <c r="S55" s="57">
        <f t="shared" si="35"/>
        <v>3</v>
      </c>
      <c r="T55" s="57">
        <f t="shared" si="35"/>
        <v>3</v>
      </c>
      <c r="U55" s="57">
        <f t="shared" si="34"/>
        <v>3</v>
      </c>
      <c r="V55" s="57">
        <f t="shared" si="35"/>
        <v>3</v>
      </c>
      <c r="W55" s="57">
        <f t="shared" si="35"/>
        <v>3</v>
      </c>
      <c r="X55" s="57">
        <f t="shared" si="35"/>
        <v>3</v>
      </c>
    </row>
    <row r="56" spans="1:24" hidden="1" outlineLevel="1">
      <c r="B56" s="57" t="s">
        <v>258</v>
      </c>
      <c r="E56" s="57">
        <v>15</v>
      </c>
      <c r="F56" s="57">
        <f t="shared" ref="F56:X56" si="36">E56</f>
        <v>15</v>
      </c>
      <c r="G56" s="57">
        <f t="shared" si="36"/>
        <v>15</v>
      </c>
      <c r="H56" s="57">
        <v>1</v>
      </c>
      <c r="I56" s="57">
        <f>H56</f>
        <v>1</v>
      </c>
      <c r="J56" s="57">
        <f t="shared" si="36"/>
        <v>1</v>
      </c>
      <c r="K56" s="57">
        <f t="shared" si="36"/>
        <v>1</v>
      </c>
      <c r="L56" s="57">
        <f t="shared" si="36"/>
        <v>1</v>
      </c>
      <c r="M56" s="57">
        <f t="shared" si="32"/>
        <v>1</v>
      </c>
      <c r="N56" s="57">
        <f t="shared" si="36"/>
        <v>1</v>
      </c>
      <c r="O56" s="57">
        <f t="shared" si="36"/>
        <v>1</v>
      </c>
      <c r="P56" s="57">
        <f t="shared" si="36"/>
        <v>1</v>
      </c>
      <c r="Q56" s="57">
        <f t="shared" si="33"/>
        <v>1</v>
      </c>
      <c r="R56" s="57">
        <f t="shared" si="36"/>
        <v>1</v>
      </c>
      <c r="S56" s="57">
        <f t="shared" si="36"/>
        <v>1</v>
      </c>
      <c r="T56" s="57">
        <f t="shared" si="36"/>
        <v>1</v>
      </c>
      <c r="U56" s="57">
        <f t="shared" si="34"/>
        <v>1</v>
      </c>
      <c r="V56" s="57">
        <f t="shared" si="36"/>
        <v>1</v>
      </c>
      <c r="W56" s="57">
        <f t="shared" si="36"/>
        <v>1</v>
      </c>
      <c r="X56" s="57">
        <f t="shared" si="36"/>
        <v>1</v>
      </c>
    </row>
    <row r="57" spans="1:24" hidden="1" outlineLevel="1">
      <c r="B57" s="57" t="s">
        <v>260</v>
      </c>
      <c r="E57" s="57">
        <v>15</v>
      </c>
      <c r="F57" s="57">
        <f t="shared" ref="F57:X57" si="37">E57</f>
        <v>15</v>
      </c>
      <c r="G57" s="57">
        <f t="shared" si="37"/>
        <v>15</v>
      </c>
      <c r="H57" s="57">
        <v>1</v>
      </c>
      <c r="I57" s="57">
        <f>H57</f>
        <v>1</v>
      </c>
      <c r="J57" s="57">
        <f t="shared" si="37"/>
        <v>1</v>
      </c>
      <c r="K57" s="57">
        <f t="shared" si="37"/>
        <v>1</v>
      </c>
      <c r="L57" s="57">
        <f t="shared" si="37"/>
        <v>1</v>
      </c>
      <c r="M57" s="57">
        <f t="shared" si="32"/>
        <v>1</v>
      </c>
      <c r="N57" s="57">
        <f t="shared" si="37"/>
        <v>1</v>
      </c>
      <c r="O57" s="57">
        <f t="shared" si="37"/>
        <v>1</v>
      </c>
      <c r="P57" s="57">
        <f t="shared" si="37"/>
        <v>1</v>
      </c>
      <c r="Q57" s="57">
        <f t="shared" si="33"/>
        <v>1</v>
      </c>
      <c r="R57" s="57">
        <f t="shared" si="37"/>
        <v>1</v>
      </c>
      <c r="S57" s="57">
        <f t="shared" si="37"/>
        <v>1</v>
      </c>
      <c r="T57" s="57">
        <f t="shared" si="37"/>
        <v>1</v>
      </c>
      <c r="U57" s="57">
        <f t="shared" si="34"/>
        <v>1</v>
      </c>
      <c r="V57" s="57">
        <f t="shared" si="37"/>
        <v>1</v>
      </c>
      <c r="W57" s="57">
        <f t="shared" si="37"/>
        <v>1</v>
      </c>
      <c r="X57" s="57">
        <f t="shared" si="37"/>
        <v>1</v>
      </c>
    </row>
    <row r="58" spans="1:24" hidden="1" outlineLevel="1">
      <c r="B58" s="57" t="s">
        <v>293</v>
      </c>
      <c r="E58" s="57">
        <v>15</v>
      </c>
      <c r="F58" s="57">
        <f t="shared" ref="F58:X58" si="38">E58</f>
        <v>15</v>
      </c>
      <c r="G58" s="57">
        <f t="shared" si="38"/>
        <v>15</v>
      </c>
      <c r="H58" s="57">
        <v>1</v>
      </c>
      <c r="I58" s="57">
        <f>H58</f>
        <v>1</v>
      </c>
      <c r="J58" s="57">
        <f t="shared" si="38"/>
        <v>1</v>
      </c>
      <c r="K58" s="57">
        <f t="shared" si="38"/>
        <v>1</v>
      </c>
      <c r="L58" s="57">
        <f t="shared" si="38"/>
        <v>1</v>
      </c>
      <c r="M58" s="57">
        <f t="shared" si="32"/>
        <v>1</v>
      </c>
      <c r="N58" s="57">
        <f t="shared" si="38"/>
        <v>1</v>
      </c>
      <c r="O58" s="57">
        <f t="shared" si="38"/>
        <v>1</v>
      </c>
      <c r="P58" s="57">
        <f t="shared" si="38"/>
        <v>1</v>
      </c>
      <c r="Q58" s="57">
        <f t="shared" si="33"/>
        <v>1</v>
      </c>
      <c r="R58" s="57">
        <f t="shared" si="38"/>
        <v>1</v>
      </c>
      <c r="S58" s="57">
        <f t="shared" si="38"/>
        <v>1</v>
      </c>
      <c r="T58" s="57">
        <f t="shared" si="38"/>
        <v>1</v>
      </c>
      <c r="U58" s="57">
        <f t="shared" si="34"/>
        <v>1</v>
      </c>
      <c r="V58" s="57">
        <f t="shared" si="38"/>
        <v>1</v>
      </c>
      <c r="W58" s="57">
        <f t="shared" si="38"/>
        <v>1</v>
      </c>
      <c r="X58" s="57">
        <f t="shared" si="38"/>
        <v>1</v>
      </c>
    </row>
    <row r="59" spans="1:24" hidden="1" outlineLevel="1">
      <c r="B59" s="57" t="s">
        <v>294</v>
      </c>
      <c r="E59" s="57">
        <v>15</v>
      </c>
      <c r="F59" s="57">
        <f t="shared" ref="F59:X60" si="39">E59</f>
        <v>15</v>
      </c>
      <c r="G59" s="57">
        <f t="shared" si="39"/>
        <v>15</v>
      </c>
      <c r="H59" s="57">
        <v>1</v>
      </c>
      <c r="I59" s="57">
        <f>H59</f>
        <v>1</v>
      </c>
      <c r="J59" s="57">
        <f t="shared" si="39"/>
        <v>1</v>
      </c>
      <c r="K59" s="57">
        <f t="shared" si="39"/>
        <v>1</v>
      </c>
      <c r="L59" s="57">
        <f t="shared" si="39"/>
        <v>1</v>
      </c>
      <c r="M59" s="57">
        <f t="shared" si="32"/>
        <v>1</v>
      </c>
      <c r="N59" s="57">
        <f t="shared" si="39"/>
        <v>1</v>
      </c>
      <c r="O59" s="57">
        <f t="shared" si="39"/>
        <v>1</v>
      </c>
      <c r="P59" s="57">
        <f t="shared" si="39"/>
        <v>1</v>
      </c>
      <c r="Q59" s="57">
        <f t="shared" si="33"/>
        <v>1</v>
      </c>
      <c r="R59" s="57">
        <f t="shared" si="39"/>
        <v>1</v>
      </c>
      <c r="S59" s="57">
        <f t="shared" si="39"/>
        <v>1</v>
      </c>
      <c r="T59" s="57">
        <f t="shared" si="39"/>
        <v>1</v>
      </c>
      <c r="U59" s="57">
        <f t="shared" si="34"/>
        <v>1</v>
      </c>
      <c r="V59" s="57">
        <f t="shared" si="39"/>
        <v>1</v>
      </c>
      <c r="W59" s="57">
        <f t="shared" si="39"/>
        <v>1</v>
      </c>
      <c r="X59" s="57">
        <f t="shared" si="39"/>
        <v>1</v>
      </c>
    </row>
    <row r="60" spans="1:24" hidden="1" outlineLevel="1">
      <c r="B60" s="57" t="s">
        <v>362</v>
      </c>
      <c r="E60" s="57">
        <v>30</v>
      </c>
      <c r="F60" s="57">
        <f t="shared" si="39"/>
        <v>30</v>
      </c>
      <c r="G60" s="57">
        <f t="shared" si="39"/>
        <v>30</v>
      </c>
      <c r="H60" s="57">
        <v>15</v>
      </c>
      <c r="I60" s="57">
        <f>H60</f>
        <v>15</v>
      </c>
      <c r="J60" s="57">
        <f t="shared" si="39"/>
        <v>15</v>
      </c>
      <c r="K60" s="57">
        <f t="shared" si="39"/>
        <v>15</v>
      </c>
      <c r="L60" s="57">
        <f t="shared" si="39"/>
        <v>15</v>
      </c>
      <c r="M60" s="57">
        <f t="shared" si="32"/>
        <v>15</v>
      </c>
      <c r="N60" s="57">
        <f t="shared" si="39"/>
        <v>15</v>
      </c>
      <c r="O60" s="57">
        <f t="shared" si="39"/>
        <v>15</v>
      </c>
      <c r="P60" s="57">
        <f>O60</f>
        <v>15</v>
      </c>
      <c r="Q60" s="57">
        <f t="shared" si="33"/>
        <v>15</v>
      </c>
      <c r="R60" s="57">
        <f t="shared" si="39"/>
        <v>15</v>
      </c>
      <c r="S60" s="57">
        <f t="shared" si="39"/>
        <v>15</v>
      </c>
      <c r="T60" s="57">
        <f t="shared" si="39"/>
        <v>15</v>
      </c>
      <c r="U60" s="57">
        <f t="shared" si="34"/>
        <v>15</v>
      </c>
      <c r="V60" s="57">
        <f t="shared" si="39"/>
        <v>15</v>
      </c>
      <c r="W60" s="57">
        <f t="shared" si="39"/>
        <v>15</v>
      </c>
      <c r="X60" s="57">
        <f t="shared" si="39"/>
        <v>15</v>
      </c>
    </row>
    <row r="61" spans="1:24" collapsed="1"/>
    <row r="62" spans="1:24" hidden="1" outlineLevel="1">
      <c r="A62" s="101" t="s">
        <v>367</v>
      </c>
      <c r="B62" s="61" t="s">
        <v>295</v>
      </c>
    </row>
    <row r="63" spans="1:24" hidden="1" outlineLevel="1">
      <c r="B63" s="71" t="s">
        <v>296</v>
      </c>
      <c r="C63" s="71"/>
      <c r="D63" s="71"/>
      <c r="E63" s="71">
        <f t="shared" ref="E63:X63" si="40">E54/E$53*E73</f>
        <v>0</v>
      </c>
      <c r="F63" s="71">
        <f t="shared" si="40"/>
        <v>0</v>
      </c>
      <c r="G63" s="71">
        <f t="shared" si="40"/>
        <v>585886556.66666663</v>
      </c>
      <c r="H63" s="71">
        <f t="shared" si="40"/>
        <v>607191522.36363637</v>
      </c>
      <c r="I63" s="71">
        <f t="shared" si="40"/>
        <v>607966248.38898063</v>
      </c>
      <c r="J63" s="71">
        <f t="shared" si="40"/>
        <v>607994420.24444771</v>
      </c>
      <c r="K63" s="71">
        <f t="shared" si="40"/>
        <v>624499291.34222233</v>
      </c>
      <c r="L63" s="71">
        <f t="shared" si="40"/>
        <v>625099468.47305036</v>
      </c>
      <c r="M63" s="71">
        <f t="shared" si="40"/>
        <v>625121293.0959897</v>
      </c>
      <c r="N63" s="71">
        <f t="shared" si="40"/>
        <v>625122086.71864188</v>
      </c>
      <c r="O63" s="71">
        <f t="shared" si="40"/>
        <v>641625962.24431419</v>
      </c>
      <c r="P63" s="71">
        <f t="shared" si="40"/>
        <v>642226103.1725204</v>
      </c>
      <c r="Q63" s="71">
        <f t="shared" si="40"/>
        <v>642247926.47900081</v>
      </c>
      <c r="R63" s="71">
        <f t="shared" si="40"/>
        <v>642248720.05378175</v>
      </c>
      <c r="S63" s="71">
        <f t="shared" si="40"/>
        <v>658752595.57771325</v>
      </c>
      <c r="T63" s="71">
        <f t="shared" si="40"/>
        <v>659352736.50585604</v>
      </c>
      <c r="U63" s="71">
        <f t="shared" si="40"/>
        <v>791249471.77480125</v>
      </c>
      <c r="V63" s="71">
        <f t="shared" si="40"/>
        <v>791250424.06453824</v>
      </c>
      <c r="W63" s="71">
        <f t="shared" si="40"/>
        <v>811055074.69325602</v>
      </c>
      <c r="X63" s="71">
        <f t="shared" si="40"/>
        <v>811775243.80702758</v>
      </c>
    </row>
    <row r="64" spans="1:24" hidden="1" outlineLevel="1">
      <c r="B64" s="71" t="s">
        <v>297</v>
      </c>
      <c r="C64" s="71"/>
      <c r="D64" s="71"/>
      <c r="E64" s="71">
        <f t="shared" ref="E64:H67" si="41">E55/E$53*E74</f>
        <v>0</v>
      </c>
      <c r="F64" s="71">
        <f t="shared" si="41"/>
        <v>0</v>
      </c>
      <c r="G64" s="71">
        <f t="shared" si="41"/>
        <v>12492198.329972589</v>
      </c>
      <c r="H64" s="71">
        <f t="shared" si="41"/>
        <v>12554659.321622452</v>
      </c>
      <c r="I64" s="71">
        <f t="shared" ref="I64:L67" si="42">I55/I$53*I74</f>
        <v>29440676.10920465</v>
      </c>
      <c r="J64" s="71">
        <f t="shared" si="42"/>
        <v>29587879.489750661</v>
      </c>
      <c r="K64" s="71">
        <f t="shared" si="42"/>
        <v>13102906.10924883</v>
      </c>
      <c r="L64" s="71">
        <f t="shared" si="42"/>
        <v>13168420.639795072</v>
      </c>
      <c r="M64" s="71">
        <f t="shared" ref="M64:P67" si="43">M55/M$53*M74</f>
        <v>13234262.742994048</v>
      </c>
      <c r="N64" s="71">
        <f t="shared" si="43"/>
        <v>13300434.056709018</v>
      </c>
      <c r="O64" s="71">
        <f t="shared" si="43"/>
        <v>13733153.657869071</v>
      </c>
      <c r="P64" s="71">
        <f t="shared" si="43"/>
        <v>13801819.426158413</v>
      </c>
      <c r="Q64" s="71">
        <f t="shared" ref="Q64:T67" si="44">Q55/Q$53*Q74</f>
        <v>13870828.523289206</v>
      </c>
      <c r="R64" s="71">
        <f t="shared" si="44"/>
        <v>13940182.665905651</v>
      </c>
      <c r="S64" s="71">
        <f t="shared" si="44"/>
        <v>14383480.474681446</v>
      </c>
      <c r="T64" s="71">
        <f t="shared" si="44"/>
        <v>14455397.877054853</v>
      </c>
      <c r="U64" s="71">
        <f t="shared" ref="U64:X67" si="45">U55/U$53*U74</f>
        <v>17433209.839728151</v>
      </c>
      <c r="V64" s="71">
        <f t="shared" si="45"/>
        <v>17520375.888926793</v>
      </c>
      <c r="W64" s="71">
        <f t="shared" si="45"/>
        <v>18065327.840277173</v>
      </c>
      <c r="X64" s="71">
        <f t="shared" si="45"/>
        <v>18155654.479478557</v>
      </c>
    </row>
    <row r="65" spans="2:24" hidden="1" outlineLevel="1">
      <c r="B65" s="71" t="s">
        <v>298</v>
      </c>
      <c r="C65" s="71"/>
      <c r="D65" s="71"/>
      <c r="E65" s="71">
        <f t="shared" si="41"/>
        <v>131160714.28571428</v>
      </c>
      <c r="F65" s="71">
        <f t="shared" si="41"/>
        <v>156928571.42857143</v>
      </c>
      <c r="G65" s="71">
        <f t="shared" si="41"/>
        <v>98913095.238095224</v>
      </c>
      <c r="H65" s="71">
        <f t="shared" si="41"/>
        <v>6562328.5714285718</v>
      </c>
      <c r="I65" s="71">
        <f t="shared" si="42"/>
        <v>7656050</v>
      </c>
      <c r="J65" s="71">
        <f t="shared" si="42"/>
        <v>6890445</v>
      </c>
      <c r="K65" s="71">
        <f t="shared" si="42"/>
        <v>7299363</v>
      </c>
      <c r="L65" s="71">
        <f t="shared" si="42"/>
        <v>7990809.8600000003</v>
      </c>
      <c r="M65" s="71">
        <f t="shared" si="43"/>
        <v>8111882.7366666663</v>
      </c>
      <c r="N65" s="71">
        <f t="shared" si="43"/>
        <v>7300694.4629999995</v>
      </c>
      <c r="O65" s="71">
        <f t="shared" si="43"/>
        <v>8593379.6308666673</v>
      </c>
      <c r="P65" s="71">
        <f t="shared" si="43"/>
        <v>9225050.1854573339</v>
      </c>
      <c r="Q65" s="71">
        <f t="shared" si="44"/>
        <v>9364823.6731157787</v>
      </c>
      <c r="R65" s="71">
        <f t="shared" si="44"/>
        <v>8428341.3058042005</v>
      </c>
      <c r="S65" s="71">
        <f t="shared" si="44"/>
        <v>9377889.4203869477</v>
      </c>
      <c r="T65" s="71">
        <f t="shared" si="44"/>
        <v>11178879.672485128</v>
      </c>
      <c r="U65" s="71">
        <f t="shared" si="45"/>
        <v>13617907.964663701</v>
      </c>
      <c r="V65" s="71">
        <f t="shared" si="45"/>
        <v>12256117.168197332</v>
      </c>
      <c r="W65" s="71">
        <f t="shared" si="45"/>
        <v>12369074.477879822</v>
      </c>
      <c r="X65" s="71">
        <f t="shared" si="45"/>
        <v>16159060.385133563</v>
      </c>
    </row>
    <row r="66" spans="2:24" hidden="1" outlineLevel="1">
      <c r="B66" s="71" t="s">
        <v>299</v>
      </c>
      <c r="C66" s="71"/>
      <c r="D66" s="71"/>
      <c r="E66" s="71">
        <f t="shared" si="41"/>
        <v>7150000</v>
      </c>
      <c r="F66" s="71">
        <f t="shared" si="41"/>
        <v>6435000</v>
      </c>
      <c r="G66" s="71">
        <f t="shared" si="41"/>
        <v>17203999.999999996</v>
      </c>
      <c r="H66" s="71">
        <f t="shared" si="41"/>
        <v>1188440</v>
      </c>
      <c r="I66" s="71">
        <f t="shared" si="42"/>
        <v>396146.66666666669</v>
      </c>
      <c r="J66" s="71">
        <f t="shared" si="42"/>
        <v>356532</v>
      </c>
      <c r="K66" s="71">
        <f t="shared" si="42"/>
        <v>1219691.7333333334</v>
      </c>
      <c r="L66" s="71">
        <f t="shared" si="42"/>
        <v>1469953.76</v>
      </c>
      <c r="M66" s="71">
        <f t="shared" si="43"/>
        <v>489984.58666666673</v>
      </c>
      <c r="N66" s="71">
        <f t="shared" si="43"/>
        <v>440986.12800000014</v>
      </c>
      <c r="O66" s="71">
        <f t="shared" si="43"/>
        <v>1447198.7669333334</v>
      </c>
      <c r="P66" s="71">
        <f t="shared" si="43"/>
        <v>1695479.8150399998</v>
      </c>
      <c r="Q66" s="71">
        <f t="shared" si="44"/>
        <v>565159.93834666675</v>
      </c>
      <c r="R66" s="71">
        <f t="shared" si="44"/>
        <v>508643.94451200002</v>
      </c>
      <c r="S66" s="71">
        <f t="shared" si="44"/>
        <v>1576412.7950677336</v>
      </c>
      <c r="T66" s="71">
        <f t="shared" si="44"/>
        <v>2073901.9192601603</v>
      </c>
      <c r="U66" s="71">
        <f t="shared" si="45"/>
        <v>829560.76770406414</v>
      </c>
      <c r="V66" s="71">
        <f t="shared" si="45"/>
        <v>746604.69093365758</v>
      </c>
      <c r="W66" s="71">
        <f t="shared" si="45"/>
        <v>2072764.8614163252</v>
      </c>
      <c r="X66" s="71">
        <f t="shared" si="45"/>
        <v>3019554.7292124489</v>
      </c>
    </row>
    <row r="67" spans="2:24" hidden="1" outlineLevel="1">
      <c r="B67" s="71" t="s">
        <v>300</v>
      </c>
      <c r="C67" s="71"/>
      <c r="D67" s="71"/>
      <c r="E67" s="71">
        <f t="shared" si="41"/>
        <v>0</v>
      </c>
      <c r="F67" s="71">
        <f t="shared" si="41"/>
        <v>0</v>
      </c>
      <c r="G67" s="71">
        <f t="shared" si="41"/>
        <v>1511999.9999999995</v>
      </c>
      <c r="H67" s="71">
        <f t="shared" si="41"/>
        <v>123200</v>
      </c>
      <c r="I67" s="71">
        <f t="shared" si="42"/>
        <v>0</v>
      </c>
      <c r="J67" s="71">
        <f t="shared" si="42"/>
        <v>0</v>
      </c>
      <c r="K67" s="71">
        <f t="shared" si="42"/>
        <v>108000</v>
      </c>
      <c r="L67" s="71">
        <f t="shared" si="42"/>
        <v>156000</v>
      </c>
      <c r="M67" s="71">
        <f t="shared" si="43"/>
        <v>0</v>
      </c>
      <c r="N67" s="71">
        <f t="shared" si="43"/>
        <v>0</v>
      </c>
      <c r="O67" s="71">
        <f t="shared" si="43"/>
        <v>128000</v>
      </c>
      <c r="P67" s="71">
        <f t="shared" si="43"/>
        <v>179200</v>
      </c>
      <c r="Q67" s="71">
        <f t="shared" si="44"/>
        <v>0</v>
      </c>
      <c r="R67" s="71">
        <f t="shared" si="44"/>
        <v>0</v>
      </c>
      <c r="S67" s="71">
        <f t="shared" si="44"/>
        <v>139200</v>
      </c>
      <c r="T67" s="71">
        <f t="shared" si="44"/>
        <v>222720</v>
      </c>
      <c r="U67" s="71">
        <f t="shared" si="45"/>
        <v>0</v>
      </c>
      <c r="V67" s="71">
        <f t="shared" si="45"/>
        <v>0</v>
      </c>
      <c r="W67" s="71">
        <f t="shared" si="45"/>
        <v>182400</v>
      </c>
      <c r="X67" s="71">
        <f t="shared" si="45"/>
        <v>328320</v>
      </c>
    </row>
    <row r="68" spans="2:24" hidden="1" outlineLevel="1">
      <c r="B68" s="71" t="s">
        <v>301</v>
      </c>
      <c r="C68" s="71"/>
      <c r="D68" s="71"/>
      <c r="E68" s="71">
        <f t="shared" ref="E68:X68" si="46">E59/E$53*E78</f>
        <v>0</v>
      </c>
      <c r="F68" s="71">
        <f>F59/F$53*F78</f>
        <v>0</v>
      </c>
      <c r="G68" s="71">
        <f t="shared" si="46"/>
        <v>0</v>
      </c>
      <c r="H68" s="71">
        <f t="shared" si="46"/>
        <v>0</v>
      </c>
      <c r="I68" s="71">
        <f t="shared" si="46"/>
        <v>0</v>
      </c>
      <c r="J68" s="71">
        <f t="shared" si="46"/>
        <v>0</v>
      </c>
      <c r="K68" s="71">
        <f t="shared" si="46"/>
        <v>0</v>
      </c>
      <c r="L68" s="71">
        <f t="shared" si="46"/>
        <v>0</v>
      </c>
      <c r="M68" s="71">
        <f t="shared" si="46"/>
        <v>0</v>
      </c>
      <c r="N68" s="71">
        <f t="shared" si="46"/>
        <v>0</v>
      </c>
      <c r="O68" s="71">
        <f t="shared" si="46"/>
        <v>0</v>
      </c>
      <c r="P68" s="71">
        <f t="shared" si="46"/>
        <v>0</v>
      </c>
      <c r="Q68" s="71">
        <f t="shared" si="46"/>
        <v>0</v>
      </c>
      <c r="R68" s="71">
        <f t="shared" si="46"/>
        <v>0</v>
      </c>
      <c r="S68" s="71">
        <f t="shared" si="46"/>
        <v>0</v>
      </c>
      <c r="T68" s="71">
        <f t="shared" si="46"/>
        <v>0</v>
      </c>
      <c r="U68" s="71">
        <f t="shared" si="46"/>
        <v>0</v>
      </c>
      <c r="V68" s="71">
        <f t="shared" si="46"/>
        <v>0</v>
      </c>
      <c r="W68" s="71">
        <f t="shared" si="46"/>
        <v>0</v>
      </c>
      <c r="X68" s="71">
        <f t="shared" si="46"/>
        <v>0</v>
      </c>
    </row>
    <row r="69" spans="2:24" hidden="1" outlineLevel="1">
      <c r="B69" s="71" t="s">
        <v>302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spans="2:24" s="61" customFormat="1" ht="14.4" hidden="1" outlineLevel="1" thickBot="1">
      <c r="B70" s="166" t="s">
        <v>162</v>
      </c>
      <c r="C70" s="166"/>
      <c r="D70" s="166"/>
      <c r="E70" s="166">
        <f>SUM(E63:E69)</f>
        <v>138310714.28571427</v>
      </c>
      <c r="F70" s="166">
        <f>SUM(F63:F69)</f>
        <v>163363571.42857143</v>
      </c>
      <c r="G70" s="166">
        <f t="shared" ref="G70:X70" si="47">SUM(G63:G69)</f>
        <v>716007850.23473454</v>
      </c>
      <c r="H70" s="166">
        <f t="shared" si="47"/>
        <v>627620150.2566874</v>
      </c>
      <c r="I70" s="166">
        <f t="shared" si="47"/>
        <v>645459121.1648519</v>
      </c>
      <c r="J70" s="166">
        <f t="shared" si="47"/>
        <v>644829276.73419833</v>
      </c>
      <c r="K70" s="166">
        <f t="shared" si="47"/>
        <v>646229252.18480456</v>
      </c>
      <c r="L70" s="166">
        <f t="shared" si="47"/>
        <v>647884652.73284543</v>
      </c>
      <c r="M70" s="166">
        <f t="shared" si="47"/>
        <v>646957423.16231716</v>
      </c>
      <c r="N70" s="166">
        <f t="shared" si="47"/>
        <v>646164201.36635089</v>
      </c>
      <c r="O70" s="166">
        <f t="shared" si="47"/>
        <v>665527694.29998326</v>
      </c>
      <c r="P70" s="166">
        <f t="shared" si="47"/>
        <v>667127652.59917617</v>
      </c>
      <c r="Q70" s="166">
        <f t="shared" si="47"/>
        <v>666048738.61375237</v>
      </c>
      <c r="R70" s="166">
        <f t="shared" si="47"/>
        <v>665125887.9700036</v>
      </c>
      <c r="S70" s="166">
        <f t="shared" si="47"/>
        <v>684229578.26784945</v>
      </c>
      <c r="T70" s="166">
        <f t="shared" si="47"/>
        <v>687283635.97465611</v>
      </c>
      <c r="U70" s="166">
        <f t="shared" si="47"/>
        <v>823130150.34689713</v>
      </c>
      <c r="V70" s="166">
        <f t="shared" si="47"/>
        <v>821773521.81259596</v>
      </c>
      <c r="W70" s="166">
        <f t="shared" si="47"/>
        <v>843744641.87282944</v>
      </c>
      <c r="X70" s="166">
        <f t="shared" si="47"/>
        <v>849437833.40085208</v>
      </c>
    </row>
    <row r="71" spans="2:24" collapsed="1"/>
    <row r="72" spans="2:24" s="61" customFormat="1" hidden="1" outlineLevel="1">
      <c r="B72" s="61" t="s">
        <v>508</v>
      </c>
    </row>
    <row r="73" spans="2:24" hidden="1" outlineLevel="1">
      <c r="B73" s="71" t="str">
        <f t="shared" ref="B73:B79" si="48">B63</f>
        <v xml:space="preserve"> Ethanol</v>
      </c>
      <c r="C73" s="71"/>
      <c r="D73" s="71"/>
      <c r="E73" s="71">
        <f>PL!E12</f>
        <v>0</v>
      </c>
      <c r="F73" s="71">
        <f>PL!F12</f>
        <v>0</v>
      </c>
      <c r="G73" s="71">
        <f>PL!G12</f>
        <v>2028068850</v>
      </c>
      <c r="H73" s="71">
        <f>PL!H12</f>
        <v>2101816808.1818182</v>
      </c>
      <c r="I73" s="71">
        <f>PL!J12</f>
        <v>2104498552.1157024</v>
      </c>
      <c r="J73" s="71">
        <f>PL!K12</f>
        <v>2104596070.0769346</v>
      </c>
      <c r="K73" s="71">
        <f>PL!L12</f>
        <v>2161728316.1846161</v>
      </c>
      <c r="L73" s="71">
        <f>PL!M12</f>
        <v>2163805852.406713</v>
      </c>
      <c r="M73" s="71">
        <f>PL!O12</f>
        <v>2163881399.1784263</v>
      </c>
      <c r="N73" s="71">
        <f>PL!P12</f>
        <v>2163884146.3337607</v>
      </c>
      <c r="O73" s="71">
        <f>PL!Q12</f>
        <v>2221012946.2303185</v>
      </c>
      <c r="P73" s="71">
        <f>PL!R12</f>
        <v>2223090357.1356478</v>
      </c>
      <c r="Q73" s="71">
        <f>PL!T12</f>
        <v>2223165899.3503876</v>
      </c>
      <c r="R73" s="71">
        <f>PL!U12</f>
        <v>2223168646.340014</v>
      </c>
      <c r="S73" s="71">
        <f>PL!V12</f>
        <v>2280297446.230546</v>
      </c>
      <c r="T73" s="71">
        <f>PL!W12</f>
        <v>2282374857.1356559</v>
      </c>
      <c r="U73" s="71">
        <f>PL!Y12</f>
        <v>2282450399.3503881</v>
      </c>
      <c r="V73" s="71">
        <f>PL!Z12</f>
        <v>2282453146.340014</v>
      </c>
      <c r="W73" s="71">
        <f>PL!AA12</f>
        <v>2339581946.230546</v>
      </c>
      <c r="X73" s="71">
        <f>PL!AB12</f>
        <v>2341659357.1356564</v>
      </c>
    </row>
    <row r="74" spans="2:24" hidden="1" outlineLevel="1">
      <c r="B74" s="71" t="str">
        <f t="shared" si="48"/>
        <v xml:space="preserve"> DDGS</v>
      </c>
      <c r="C74" s="71"/>
      <c r="D74" s="71"/>
      <c r="E74" s="71">
        <f>PL!E13</f>
        <v>0</v>
      </c>
      <c r="F74" s="71">
        <f>PL!F13</f>
        <v>0</v>
      </c>
      <c r="G74" s="71">
        <f>PL!G13</f>
        <v>374765949.89917767</v>
      </c>
      <c r="H74" s="71">
        <f>PL!H13</f>
        <v>376639779.64867353</v>
      </c>
      <c r="I74" s="71">
        <f>PL!J13</f>
        <v>378522978.5469169</v>
      </c>
      <c r="J74" s="71">
        <f>PL!K13</f>
        <v>380415593.43965137</v>
      </c>
      <c r="K74" s="71">
        <f>PL!L13</f>
        <v>393087183.27746493</v>
      </c>
      <c r="L74" s="71">
        <f>PL!M13</f>
        <v>395052619.19385219</v>
      </c>
      <c r="M74" s="71">
        <f>PL!O13</f>
        <v>397027882.28982145</v>
      </c>
      <c r="N74" s="71">
        <f>PL!P13</f>
        <v>399013021.70127052</v>
      </c>
      <c r="O74" s="71">
        <f>PL!Q13</f>
        <v>411994609.73607212</v>
      </c>
      <c r="P74" s="71">
        <f>PL!R13</f>
        <v>414054582.78475243</v>
      </c>
      <c r="Q74" s="71">
        <f>PL!T13</f>
        <v>416124855.69867617</v>
      </c>
      <c r="R74" s="71">
        <f>PL!U13</f>
        <v>418205479.97716951</v>
      </c>
      <c r="S74" s="71">
        <f>PL!V13</f>
        <v>431504414.24044341</v>
      </c>
      <c r="T74" s="71">
        <f>PL!W13</f>
        <v>433661936.31164563</v>
      </c>
      <c r="U74" s="71">
        <f>PL!Y13</f>
        <v>435830245.99320376</v>
      </c>
      <c r="V74" s="71">
        <f>PL!Z13</f>
        <v>438009397.2231698</v>
      </c>
      <c r="W74" s="71">
        <f>PL!AA13</f>
        <v>451633196.00692934</v>
      </c>
      <c r="X74" s="71">
        <f>PL!AB13</f>
        <v>453891361.98696393</v>
      </c>
    </row>
    <row r="75" spans="2:24" hidden="1" outlineLevel="1">
      <c r="B75" s="71" t="str">
        <f t="shared" si="48"/>
        <v xml:space="preserve"> Sugar</v>
      </c>
      <c r="C75" s="71"/>
      <c r="D75" s="71"/>
      <c r="E75" s="71">
        <f>PL!E7</f>
        <v>786964285.71428573</v>
      </c>
      <c r="F75" s="71">
        <f>PL!F7</f>
        <v>941571428.57142866</v>
      </c>
      <c r="G75" s="71">
        <f>PL!G7</f>
        <v>593478571.42857134</v>
      </c>
      <c r="H75" s="71">
        <f>PL!H7</f>
        <v>590609571.42857146</v>
      </c>
      <c r="I75" s="71">
        <f>PL!J7</f>
        <v>689044500</v>
      </c>
      <c r="J75" s="71">
        <f>PL!K7</f>
        <v>620140050</v>
      </c>
      <c r="K75" s="71">
        <f>PL!L7</f>
        <v>656942670</v>
      </c>
      <c r="L75" s="71">
        <f>PL!M7</f>
        <v>719172887.39999998</v>
      </c>
      <c r="M75" s="71">
        <f>PL!O7</f>
        <v>730069446.29999995</v>
      </c>
      <c r="N75" s="71">
        <f>PL!P7</f>
        <v>657062501.66999996</v>
      </c>
      <c r="O75" s="71">
        <f>PL!Q7</f>
        <v>773404166.778</v>
      </c>
      <c r="P75" s="71">
        <f>PL!R7</f>
        <v>830254516.69116008</v>
      </c>
      <c r="Q75" s="71">
        <f>PL!T7</f>
        <v>842834130.58042002</v>
      </c>
      <c r="R75" s="71">
        <f>PL!U7</f>
        <v>758550717.52237797</v>
      </c>
      <c r="S75" s="71">
        <f>PL!V7</f>
        <v>844010047.83482528</v>
      </c>
      <c r="T75" s="71">
        <f>PL!W7</f>
        <v>1006099170.5236615</v>
      </c>
      <c r="U75" s="71">
        <f>PL!Y7</f>
        <v>1021343097.3497775</v>
      </c>
      <c r="V75" s="71">
        <f>PL!Z7</f>
        <v>919208787.61479986</v>
      </c>
      <c r="W75" s="71">
        <f>PL!AA7</f>
        <v>927680585.84098661</v>
      </c>
      <c r="X75" s="71">
        <f>PL!AB7</f>
        <v>1211929528.8850172</v>
      </c>
    </row>
    <row r="76" spans="2:24" hidden="1" outlineLevel="1">
      <c r="B76" s="71" t="str">
        <f t="shared" si="48"/>
        <v xml:space="preserve"> Molasses</v>
      </c>
      <c r="C76" s="71"/>
      <c r="D76" s="71"/>
      <c r="E76" s="71">
        <f>PL!E8</f>
        <v>42900000</v>
      </c>
      <c r="F76" s="71">
        <f>PL!F8</f>
        <v>38610000</v>
      </c>
      <c r="G76" s="71">
        <f>PL!G8</f>
        <v>103223999.99999999</v>
      </c>
      <c r="H76" s="71">
        <f>PL!H8</f>
        <v>106959600</v>
      </c>
      <c r="I76" s="71">
        <f>PL!J8</f>
        <v>35653200</v>
      </c>
      <c r="J76" s="71">
        <f>PL!K8</f>
        <v>32087880</v>
      </c>
      <c r="K76" s="71">
        <f>PL!L8</f>
        <v>109772256</v>
      </c>
      <c r="L76" s="71">
        <f>PL!M8</f>
        <v>132295838.39999999</v>
      </c>
      <c r="M76" s="71">
        <f>PL!O8</f>
        <v>44098612.800000004</v>
      </c>
      <c r="N76" s="71">
        <f>PL!P8</f>
        <v>39688751.520000011</v>
      </c>
      <c r="O76" s="71">
        <f>PL!Q8</f>
        <v>130247889.024</v>
      </c>
      <c r="P76" s="71">
        <f>PL!R8</f>
        <v>152593183.35359997</v>
      </c>
      <c r="Q76" s="71">
        <f>PL!T8</f>
        <v>50864394.451200001</v>
      </c>
      <c r="R76" s="71">
        <f>PL!U8</f>
        <v>45777955.006080002</v>
      </c>
      <c r="S76" s="71">
        <f>PL!V8</f>
        <v>141877151.55609602</v>
      </c>
      <c r="T76" s="71">
        <f>PL!W8</f>
        <v>186651172.73341441</v>
      </c>
      <c r="U76" s="71">
        <f>PL!Y8</f>
        <v>62217057.577804804</v>
      </c>
      <c r="V76" s="71">
        <f>PL!Z8</f>
        <v>55995351.820024319</v>
      </c>
      <c r="W76" s="71">
        <f>PL!AA8</f>
        <v>155457364.60622439</v>
      </c>
      <c r="X76" s="71">
        <f>PL!AB8</f>
        <v>226466604.69093364</v>
      </c>
    </row>
    <row r="77" spans="2:24" hidden="1" outlineLevel="1">
      <c r="B77" s="71" t="str">
        <f t="shared" si="48"/>
        <v xml:space="preserve"> Press Mud</v>
      </c>
      <c r="C77" s="71"/>
      <c r="D77" s="71"/>
      <c r="E77" s="71">
        <f>PL!E9</f>
        <v>0</v>
      </c>
      <c r="F77" s="71">
        <f>PL!F9</f>
        <v>0</v>
      </c>
      <c r="G77" s="71">
        <f>PL!G9</f>
        <v>9071999.9999999981</v>
      </c>
      <c r="H77" s="71">
        <f>PL!H9</f>
        <v>11088000</v>
      </c>
      <c r="I77" s="71">
        <f>PL!J9</f>
        <v>0</v>
      </c>
      <c r="J77" s="71">
        <f>PL!K9</f>
        <v>0</v>
      </c>
      <c r="K77" s="71">
        <f>PL!L9</f>
        <v>9720000</v>
      </c>
      <c r="L77" s="71">
        <f>PL!M9</f>
        <v>14040000</v>
      </c>
      <c r="M77" s="71">
        <f>PL!O9</f>
        <v>0</v>
      </c>
      <c r="N77" s="71">
        <f>PL!P9</f>
        <v>0</v>
      </c>
      <c r="O77" s="71">
        <f>PL!Q9</f>
        <v>11520000</v>
      </c>
      <c r="P77" s="71">
        <f>PL!R9</f>
        <v>16128000</v>
      </c>
      <c r="Q77" s="71">
        <f>PL!T9</f>
        <v>0</v>
      </c>
      <c r="R77" s="71">
        <f>PL!U9</f>
        <v>0</v>
      </c>
      <c r="S77" s="71">
        <f>PL!V9</f>
        <v>12528000</v>
      </c>
      <c r="T77" s="71">
        <f>PL!W9</f>
        <v>20044800</v>
      </c>
      <c r="U77" s="71">
        <f>PL!Y9</f>
        <v>0</v>
      </c>
      <c r="V77" s="71">
        <f>PL!Z9</f>
        <v>0</v>
      </c>
      <c r="W77" s="71">
        <f>PL!AA9</f>
        <v>13680000</v>
      </c>
      <c r="X77" s="71">
        <f>PL!AB9</f>
        <v>24624000</v>
      </c>
    </row>
    <row r="78" spans="2:24" hidden="1" outlineLevel="1">
      <c r="B78" s="71" t="str">
        <f t="shared" si="48"/>
        <v xml:space="preserve"> Bagasse</v>
      </c>
      <c r="C78" s="71"/>
      <c r="D78" s="71"/>
      <c r="E78" s="71">
        <f>PL!E10</f>
        <v>0</v>
      </c>
      <c r="F78" s="71">
        <f>PL!F10</f>
        <v>0</v>
      </c>
      <c r="G78" s="71">
        <f>PL!G10</f>
        <v>0</v>
      </c>
      <c r="H78" s="71">
        <f>PL!H10</f>
        <v>0</v>
      </c>
      <c r="I78" s="71">
        <f>PL!J10</f>
        <v>0</v>
      </c>
      <c r="J78" s="71">
        <f>PL!K10</f>
        <v>0</v>
      </c>
      <c r="K78" s="71">
        <f>PL!L10</f>
        <v>0</v>
      </c>
      <c r="L78" s="71">
        <f>PL!M10</f>
        <v>0</v>
      </c>
      <c r="M78" s="71">
        <f>PL!O10</f>
        <v>0</v>
      </c>
      <c r="N78" s="71">
        <f>PL!P10</f>
        <v>0</v>
      </c>
      <c r="O78" s="71">
        <f>PL!Q10</f>
        <v>0</v>
      </c>
      <c r="P78" s="71">
        <f>PL!R10</f>
        <v>0</v>
      </c>
      <c r="Q78" s="71">
        <f>PL!T10</f>
        <v>0</v>
      </c>
      <c r="R78" s="71">
        <f>PL!U10</f>
        <v>0</v>
      </c>
      <c r="S78" s="71">
        <f>PL!V10</f>
        <v>0</v>
      </c>
      <c r="T78" s="71">
        <f>PL!W10</f>
        <v>0</v>
      </c>
      <c r="U78" s="71">
        <f>PL!Y10</f>
        <v>0</v>
      </c>
      <c r="V78" s="71">
        <f>PL!Z10</f>
        <v>0</v>
      </c>
      <c r="W78" s="71">
        <f>PL!AA10</f>
        <v>0</v>
      </c>
      <c r="X78" s="71">
        <f>PL!AB10</f>
        <v>0</v>
      </c>
    </row>
    <row r="79" spans="2:24" hidden="1" outlineLevel="1">
      <c r="B79" s="71" t="str">
        <f t="shared" si="48"/>
        <v>Power</v>
      </c>
      <c r="C79" s="71" t="s">
        <v>50</v>
      </c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spans="2:24" hidden="1" outlineLevel="1"/>
    <row r="81" spans="1:25" hidden="1" outlineLevel="1">
      <c r="A81" s="101" t="s">
        <v>367</v>
      </c>
      <c r="B81" s="61" t="s">
        <v>303</v>
      </c>
    </row>
    <row r="82" spans="1:25" hidden="1" outlineLevel="1">
      <c r="B82" s="61" t="str">
        <f>PL!B20</f>
        <v>Sugar Plant</v>
      </c>
    </row>
    <row r="83" spans="1:25" hidden="1" outlineLevel="1">
      <c r="B83" s="71" t="str">
        <f>PL!B21</f>
        <v>Raw material (sugarcane)</v>
      </c>
      <c r="C83" s="71"/>
      <c r="D83" s="71"/>
      <c r="E83" s="71">
        <v>15</v>
      </c>
      <c r="F83" s="71">
        <f t="shared" ref="F83:X83" si="49">E83</f>
        <v>15</v>
      </c>
      <c r="G83" s="71">
        <f t="shared" si="49"/>
        <v>15</v>
      </c>
      <c r="H83" s="71">
        <f t="shared" si="49"/>
        <v>15</v>
      </c>
      <c r="I83" s="71">
        <f>H83</f>
        <v>15</v>
      </c>
      <c r="J83" s="71">
        <f t="shared" si="49"/>
        <v>15</v>
      </c>
      <c r="K83" s="71">
        <v>0</v>
      </c>
      <c r="L83" s="71">
        <f t="shared" si="49"/>
        <v>0</v>
      </c>
      <c r="M83" s="71">
        <f>L83</f>
        <v>0</v>
      </c>
      <c r="N83" s="71">
        <f t="shared" si="49"/>
        <v>0</v>
      </c>
      <c r="O83" s="71">
        <f t="shared" si="49"/>
        <v>0</v>
      </c>
      <c r="P83" s="71">
        <f t="shared" si="49"/>
        <v>0</v>
      </c>
      <c r="Q83" s="71">
        <f>P83</f>
        <v>0</v>
      </c>
      <c r="R83" s="71">
        <f t="shared" si="49"/>
        <v>0</v>
      </c>
      <c r="S83" s="71">
        <f t="shared" si="49"/>
        <v>0</v>
      </c>
      <c r="T83" s="71">
        <f t="shared" si="49"/>
        <v>0</v>
      </c>
      <c r="U83" s="71">
        <f>T83</f>
        <v>0</v>
      </c>
      <c r="V83" s="71">
        <f t="shared" si="49"/>
        <v>0</v>
      </c>
      <c r="W83" s="71">
        <f t="shared" si="49"/>
        <v>0</v>
      </c>
      <c r="X83" s="71">
        <f t="shared" si="49"/>
        <v>0</v>
      </c>
    </row>
    <row r="84" spans="1:25" hidden="1" outlineLevel="1">
      <c r="B84" s="71" t="str">
        <f>PL!B22</f>
        <v>Labour Cost</v>
      </c>
      <c r="C84" s="71"/>
      <c r="D84" s="71"/>
      <c r="E84" s="71">
        <v>15</v>
      </c>
      <c r="F84" s="71">
        <f t="shared" ref="F84:X84" si="50">E84</f>
        <v>15</v>
      </c>
      <c r="G84" s="71">
        <f t="shared" si="50"/>
        <v>15</v>
      </c>
      <c r="H84" s="71">
        <v>1</v>
      </c>
      <c r="I84" s="71">
        <f>H84</f>
        <v>1</v>
      </c>
      <c r="J84" s="71">
        <f t="shared" si="50"/>
        <v>1</v>
      </c>
      <c r="K84" s="71">
        <f t="shared" si="50"/>
        <v>1</v>
      </c>
      <c r="L84" s="71">
        <f t="shared" si="50"/>
        <v>1</v>
      </c>
      <c r="M84" s="71">
        <f>L84</f>
        <v>1</v>
      </c>
      <c r="N84" s="71">
        <f t="shared" si="50"/>
        <v>1</v>
      </c>
      <c r="O84" s="71">
        <f t="shared" si="50"/>
        <v>1</v>
      </c>
      <c r="P84" s="71">
        <f t="shared" si="50"/>
        <v>1</v>
      </c>
      <c r="Q84" s="71">
        <f>P84</f>
        <v>1</v>
      </c>
      <c r="R84" s="71">
        <f t="shared" si="50"/>
        <v>1</v>
      </c>
      <c r="S84" s="71">
        <f t="shared" si="50"/>
        <v>1</v>
      </c>
      <c r="T84" s="71">
        <f t="shared" si="50"/>
        <v>1</v>
      </c>
      <c r="U84" s="71">
        <f>T84</f>
        <v>1</v>
      </c>
      <c r="V84" s="71">
        <f t="shared" si="50"/>
        <v>1</v>
      </c>
      <c r="W84" s="71">
        <f t="shared" si="50"/>
        <v>1</v>
      </c>
      <c r="X84" s="71">
        <f t="shared" si="50"/>
        <v>1</v>
      </c>
    </row>
    <row r="85" spans="1:25" hidden="1" outlineLevel="1">
      <c r="B85" s="71" t="str">
        <f>PL!B23</f>
        <v>Power Cost</v>
      </c>
      <c r="C85" s="71"/>
      <c r="D85" s="71"/>
      <c r="E85" s="71">
        <v>15</v>
      </c>
      <c r="F85" s="71">
        <f t="shared" ref="F85:X85" si="51">E85</f>
        <v>15</v>
      </c>
      <c r="G85" s="71">
        <f t="shared" si="51"/>
        <v>15</v>
      </c>
      <c r="H85" s="71">
        <v>1</v>
      </c>
      <c r="I85" s="71">
        <f>H85</f>
        <v>1</v>
      </c>
      <c r="J85" s="71">
        <f t="shared" si="51"/>
        <v>1</v>
      </c>
      <c r="K85" s="71">
        <f t="shared" si="51"/>
        <v>1</v>
      </c>
      <c r="L85" s="71">
        <f t="shared" si="51"/>
        <v>1</v>
      </c>
      <c r="M85" s="71">
        <f>L85</f>
        <v>1</v>
      </c>
      <c r="N85" s="71">
        <f t="shared" si="51"/>
        <v>1</v>
      </c>
      <c r="O85" s="71">
        <f t="shared" si="51"/>
        <v>1</v>
      </c>
      <c r="P85" s="71">
        <f t="shared" si="51"/>
        <v>1</v>
      </c>
      <c r="Q85" s="71">
        <f>P85</f>
        <v>1</v>
      </c>
      <c r="R85" s="71">
        <f t="shared" si="51"/>
        <v>1</v>
      </c>
      <c r="S85" s="71">
        <f t="shared" si="51"/>
        <v>1</v>
      </c>
      <c r="T85" s="71">
        <f t="shared" si="51"/>
        <v>1</v>
      </c>
      <c r="U85" s="71">
        <f>T85</f>
        <v>1</v>
      </c>
      <c r="V85" s="71">
        <f t="shared" si="51"/>
        <v>1</v>
      </c>
      <c r="W85" s="71">
        <f t="shared" si="51"/>
        <v>1</v>
      </c>
      <c r="X85" s="71">
        <f t="shared" si="51"/>
        <v>1</v>
      </c>
    </row>
    <row r="86" spans="1:25" hidden="1" outlineLevel="1">
      <c r="B86" s="71" t="str">
        <f>PL!B24</f>
        <v>Salary for dedicated Staff</v>
      </c>
      <c r="C86" s="71"/>
      <c r="D86" s="71"/>
      <c r="E86" s="71">
        <v>15</v>
      </c>
      <c r="F86" s="71">
        <f t="shared" ref="F86:X86" si="52">E86</f>
        <v>15</v>
      </c>
      <c r="G86" s="71">
        <f t="shared" si="52"/>
        <v>15</v>
      </c>
      <c r="H86" s="71">
        <v>1</v>
      </c>
      <c r="I86" s="71">
        <f>H86</f>
        <v>1</v>
      </c>
      <c r="J86" s="71">
        <f t="shared" si="52"/>
        <v>1</v>
      </c>
      <c r="K86" s="71">
        <f t="shared" si="52"/>
        <v>1</v>
      </c>
      <c r="L86" s="71">
        <f t="shared" si="52"/>
        <v>1</v>
      </c>
      <c r="M86" s="71">
        <f>L86</f>
        <v>1</v>
      </c>
      <c r="N86" s="71">
        <f t="shared" si="52"/>
        <v>1</v>
      </c>
      <c r="O86" s="71">
        <f t="shared" si="52"/>
        <v>1</v>
      </c>
      <c r="P86" s="71">
        <f t="shared" si="52"/>
        <v>1</v>
      </c>
      <c r="Q86" s="71">
        <f>P86</f>
        <v>1</v>
      </c>
      <c r="R86" s="71">
        <f t="shared" si="52"/>
        <v>1</v>
      </c>
      <c r="S86" s="71">
        <f t="shared" si="52"/>
        <v>1</v>
      </c>
      <c r="T86" s="71">
        <f t="shared" si="52"/>
        <v>1</v>
      </c>
      <c r="U86" s="71">
        <f>T86</f>
        <v>1</v>
      </c>
      <c r="V86" s="71">
        <f t="shared" si="52"/>
        <v>1</v>
      </c>
      <c r="W86" s="71">
        <f t="shared" si="52"/>
        <v>1</v>
      </c>
      <c r="X86" s="71">
        <f t="shared" si="52"/>
        <v>1</v>
      </c>
    </row>
    <row r="87" spans="1:25" hidden="1" outlineLevel="1">
      <c r="B87" s="71" t="str">
        <f>PL!B26</f>
        <v>Other Cost</v>
      </c>
      <c r="C87" s="71"/>
      <c r="D87" s="71"/>
      <c r="E87" s="71">
        <v>15</v>
      </c>
      <c r="F87" s="71">
        <f t="shared" ref="F87:X87" si="53">E87</f>
        <v>15</v>
      </c>
      <c r="G87" s="71">
        <f t="shared" si="53"/>
        <v>15</v>
      </c>
      <c r="H87" s="71">
        <v>3</v>
      </c>
      <c r="I87" s="71">
        <f>H87</f>
        <v>3</v>
      </c>
      <c r="J87" s="71">
        <f t="shared" si="53"/>
        <v>3</v>
      </c>
      <c r="K87" s="71">
        <f t="shared" si="53"/>
        <v>3</v>
      </c>
      <c r="L87" s="71">
        <f t="shared" si="53"/>
        <v>3</v>
      </c>
      <c r="M87" s="71">
        <f>L87</f>
        <v>3</v>
      </c>
      <c r="N87" s="71">
        <f t="shared" si="53"/>
        <v>3</v>
      </c>
      <c r="O87" s="71">
        <f t="shared" si="53"/>
        <v>3</v>
      </c>
      <c r="P87" s="71">
        <f t="shared" si="53"/>
        <v>3</v>
      </c>
      <c r="Q87" s="71">
        <f>P87</f>
        <v>3</v>
      </c>
      <c r="R87" s="71">
        <f t="shared" si="53"/>
        <v>3</v>
      </c>
      <c r="S87" s="71">
        <f t="shared" si="53"/>
        <v>3</v>
      </c>
      <c r="T87" s="71">
        <f t="shared" si="53"/>
        <v>3</v>
      </c>
      <c r="U87" s="71">
        <f>T87</f>
        <v>3</v>
      </c>
      <c r="V87" s="71">
        <f t="shared" si="53"/>
        <v>3</v>
      </c>
      <c r="W87" s="71">
        <f t="shared" si="53"/>
        <v>3</v>
      </c>
      <c r="X87" s="71">
        <f t="shared" si="53"/>
        <v>3</v>
      </c>
    </row>
    <row r="88" spans="1:25" collapsed="1"/>
    <row r="89" spans="1:25" s="61" customFormat="1" hidden="1" outlineLevel="1">
      <c r="A89" s="101" t="s">
        <v>367</v>
      </c>
      <c r="B89" s="61" t="s">
        <v>372</v>
      </c>
      <c r="K89" s="57"/>
    </row>
    <row r="90" spans="1:25" s="61" customFormat="1" hidden="1" outlineLevel="1">
      <c r="B90" s="168" t="str">
        <f t="shared" ref="B90:Y90" si="54">B$53</f>
        <v>No..of days of operation(days)</v>
      </c>
      <c r="C90" s="168">
        <f t="shared" si="54"/>
        <v>0</v>
      </c>
      <c r="D90" s="168">
        <f t="shared" si="54"/>
        <v>0</v>
      </c>
      <c r="E90" s="168">
        <f t="shared" si="54"/>
        <v>90</v>
      </c>
      <c r="F90" s="168">
        <f t="shared" si="54"/>
        <v>90</v>
      </c>
      <c r="G90" s="168">
        <f t="shared" si="54"/>
        <v>90</v>
      </c>
      <c r="H90" s="168">
        <f t="shared" si="54"/>
        <v>90</v>
      </c>
      <c r="I90" s="168">
        <f t="shared" si="54"/>
        <v>90</v>
      </c>
      <c r="J90" s="168">
        <f t="shared" si="54"/>
        <v>90</v>
      </c>
      <c r="K90" s="168">
        <f t="shared" si="54"/>
        <v>90</v>
      </c>
      <c r="L90" s="168">
        <f t="shared" si="54"/>
        <v>90</v>
      </c>
      <c r="M90" s="168">
        <f t="shared" si="54"/>
        <v>90</v>
      </c>
      <c r="N90" s="168">
        <f t="shared" si="54"/>
        <v>90</v>
      </c>
      <c r="O90" s="168">
        <f t="shared" si="54"/>
        <v>90</v>
      </c>
      <c r="P90" s="168">
        <f t="shared" si="54"/>
        <v>90</v>
      </c>
      <c r="Q90" s="168">
        <f t="shared" si="54"/>
        <v>90</v>
      </c>
      <c r="R90" s="168">
        <f t="shared" si="54"/>
        <v>90</v>
      </c>
      <c r="S90" s="168">
        <f t="shared" si="54"/>
        <v>90</v>
      </c>
      <c r="T90" s="168">
        <f t="shared" si="54"/>
        <v>90</v>
      </c>
      <c r="U90" s="168">
        <f t="shared" si="54"/>
        <v>75</v>
      </c>
      <c r="V90" s="168">
        <f t="shared" si="54"/>
        <v>75</v>
      </c>
      <c r="W90" s="168">
        <f t="shared" si="54"/>
        <v>75</v>
      </c>
      <c r="X90" s="168">
        <f t="shared" si="54"/>
        <v>75</v>
      </c>
      <c r="Y90" s="61">
        <f t="shared" si="54"/>
        <v>0</v>
      </c>
    </row>
    <row r="91" spans="1:25" s="61" customFormat="1" hidden="1" outlineLevel="1">
      <c r="B91" s="168" t="str">
        <f>PL!B$21&amp;" "&amp;"Cost"</f>
        <v>Raw material (sugarcane) Cost</v>
      </c>
      <c r="C91" s="168">
        <f>PL!C$21</f>
        <v>0</v>
      </c>
      <c r="D91" s="168">
        <f>PL!D$21</f>
        <v>0</v>
      </c>
      <c r="E91" s="168">
        <f>PL!E$21</f>
        <v>0</v>
      </c>
      <c r="F91" s="168">
        <f>PL!F$21</f>
        <v>0</v>
      </c>
      <c r="G91" s="168">
        <f>PL!G$21</f>
        <v>831599999.99999988</v>
      </c>
      <c r="H91" s="168">
        <f>PL!H$21</f>
        <v>1201200000</v>
      </c>
      <c r="I91" s="168">
        <f>PL!J$21</f>
        <v>0</v>
      </c>
      <c r="J91" s="168">
        <f>PL!K$21</f>
        <v>0</v>
      </c>
      <c r="K91" s="168">
        <f>PL!L$21</f>
        <v>2178000000</v>
      </c>
      <c r="L91" s="168">
        <f>PL!M$21</f>
        <v>0</v>
      </c>
      <c r="M91" s="168">
        <f>PL!O$21</f>
        <v>0</v>
      </c>
      <c r="N91" s="168">
        <f>PL!P$21</f>
        <v>0</v>
      </c>
      <c r="O91" s="168">
        <f>PL!Q$21</f>
        <v>2534400000</v>
      </c>
      <c r="P91" s="168">
        <f>PL!R$21</f>
        <v>0</v>
      </c>
      <c r="Q91" s="168">
        <f>PL!T$21</f>
        <v>0</v>
      </c>
      <c r="R91" s="168">
        <f>PL!U$21</f>
        <v>0</v>
      </c>
      <c r="S91" s="168">
        <f>PL!V$21</f>
        <v>2985840000</v>
      </c>
      <c r="T91" s="168">
        <f>PL!W$21</f>
        <v>0</v>
      </c>
      <c r="U91" s="168">
        <f>PL!Y$21</f>
        <v>0</v>
      </c>
      <c r="V91" s="168">
        <f>PL!Z$21</f>
        <v>0</v>
      </c>
      <c r="W91" s="168">
        <f>PL!AA$21</f>
        <v>3511200000</v>
      </c>
      <c r="X91" s="168">
        <f>PL!AB$21</f>
        <v>0</v>
      </c>
    </row>
    <row r="92" spans="1:25" s="61" customFormat="1" hidden="1" outlineLevel="1">
      <c r="B92" s="168" t="str">
        <f>PL!B$22</f>
        <v>Labour Cost</v>
      </c>
      <c r="C92" s="168">
        <f>PL!C$22</f>
        <v>0</v>
      </c>
      <c r="D92" s="168">
        <f>PL!D$22</f>
        <v>0</v>
      </c>
      <c r="E92" s="168">
        <f>PL!E$22</f>
        <v>0</v>
      </c>
      <c r="F92" s="168">
        <f>PL!F$22</f>
        <v>0</v>
      </c>
      <c r="G92" s="168">
        <f>PL!G$22</f>
        <v>5039999.9999999991</v>
      </c>
      <c r="H92" s="168">
        <f>PL!H$22</f>
        <v>6160000</v>
      </c>
      <c r="I92" s="168">
        <f>PL!J$22</f>
        <v>0</v>
      </c>
      <c r="J92" s="168">
        <f>PL!K$22</f>
        <v>0</v>
      </c>
      <c r="K92" s="168">
        <f>PL!L$22</f>
        <v>5400000</v>
      </c>
      <c r="L92" s="168">
        <f>PL!M$22</f>
        <v>7800000</v>
      </c>
      <c r="M92" s="168">
        <f>PL!O$22</f>
        <v>0</v>
      </c>
      <c r="N92" s="168">
        <f>PL!P$22</f>
        <v>0</v>
      </c>
      <c r="O92" s="168">
        <f>PL!Q$22</f>
        <v>6400000</v>
      </c>
      <c r="P92" s="168">
        <f>PL!R$22</f>
        <v>8960000</v>
      </c>
      <c r="Q92" s="168">
        <f>PL!T$22</f>
        <v>0</v>
      </c>
      <c r="R92" s="168">
        <f>PL!U$22</f>
        <v>0</v>
      </c>
      <c r="S92" s="168">
        <f>PL!V$22</f>
        <v>6960000</v>
      </c>
      <c r="T92" s="168">
        <f>PL!W$22</f>
        <v>11136000</v>
      </c>
      <c r="U92" s="168">
        <f>PL!Y$22</f>
        <v>0</v>
      </c>
      <c r="V92" s="168">
        <f>PL!Z$22</f>
        <v>0</v>
      </c>
      <c r="W92" s="168">
        <f>PL!AA$22</f>
        <v>7600000</v>
      </c>
      <c r="X92" s="168">
        <f>PL!AB$22</f>
        <v>13680000</v>
      </c>
    </row>
    <row r="93" spans="1:25" s="61" customFormat="1" hidden="1" outlineLevel="1">
      <c r="B93" s="168" t="str">
        <f>PL!B$23</f>
        <v>Power Cost</v>
      </c>
      <c r="C93" s="168">
        <f>PL!C$23</f>
        <v>0</v>
      </c>
      <c r="D93" s="168">
        <f>PL!D$23</f>
        <v>0</v>
      </c>
      <c r="E93" s="168">
        <f>PL!E$23</f>
        <v>0</v>
      </c>
      <c r="F93" s="168">
        <f>PL!F$23</f>
        <v>0</v>
      </c>
      <c r="G93" s="168">
        <f>PL!G$23</f>
        <v>-51480000</v>
      </c>
      <c r="H93" s="168">
        <f>PL!H$23</f>
        <v>-62920000</v>
      </c>
      <c r="I93" s="168">
        <f>PL!J$23</f>
        <v>0</v>
      </c>
      <c r="J93" s="168">
        <f>PL!K$23</f>
        <v>0</v>
      </c>
      <c r="K93" s="168">
        <f>PL!L$23</f>
        <v>-51480000</v>
      </c>
      <c r="L93" s="168">
        <f>PL!M$23</f>
        <v>-74360000</v>
      </c>
      <c r="M93" s="168">
        <f>PL!O$23</f>
        <v>0</v>
      </c>
      <c r="N93" s="168">
        <f>PL!P$23</f>
        <v>0</v>
      </c>
      <c r="O93" s="168">
        <f>PL!Q$23</f>
        <v>-57200000</v>
      </c>
      <c r="P93" s="168">
        <f>PL!R$23</f>
        <v>-80080000</v>
      </c>
      <c r="Q93" s="168">
        <f>PL!T$23</f>
        <v>0</v>
      </c>
      <c r="R93" s="168">
        <f>PL!U$23</f>
        <v>0</v>
      </c>
      <c r="S93" s="168">
        <f>PL!V$23</f>
        <v>-57200000</v>
      </c>
      <c r="T93" s="168">
        <f>PL!W$23</f>
        <v>-91520000</v>
      </c>
      <c r="U93" s="168">
        <f>PL!Y$23</f>
        <v>0</v>
      </c>
      <c r="V93" s="168">
        <f>PL!Z$23</f>
        <v>0</v>
      </c>
      <c r="W93" s="168">
        <f>PL!AA$23</f>
        <v>-57200000</v>
      </c>
      <c r="X93" s="168">
        <f>PL!AB$23</f>
        <v>-102960000</v>
      </c>
    </row>
    <row r="94" spans="1:25" s="61" customFormat="1" hidden="1" outlineLevel="1">
      <c r="B94" s="168" t="str">
        <f>PL!B$24</f>
        <v>Salary for dedicated Staff</v>
      </c>
      <c r="C94" s="168">
        <f>PL!C$24</f>
        <v>0</v>
      </c>
      <c r="D94" s="168">
        <f>PL!D$24</f>
        <v>0</v>
      </c>
      <c r="E94" s="168">
        <f>PL!E$24</f>
        <v>4439070</v>
      </c>
      <c r="F94" s="168">
        <f>PL!F$24</f>
        <v>4550046.75</v>
      </c>
      <c r="G94" s="168">
        <f>PL!G$24</f>
        <v>4663797.9187499993</v>
      </c>
      <c r="H94" s="168">
        <f>PL!H$24</f>
        <v>4780392.8667187486</v>
      </c>
      <c r="I94" s="168">
        <f>PL!J$24</f>
        <v>4899902.6883867169</v>
      </c>
      <c r="J94" s="168">
        <f>PL!K$24</f>
        <v>5022400.2555963844</v>
      </c>
      <c r="K94" s="168">
        <f>PL!L$24</f>
        <v>5147960.2619862938</v>
      </c>
      <c r="L94" s="168">
        <f>PL!M$24</f>
        <v>5276659.2685359502</v>
      </c>
      <c r="M94" s="168">
        <f>PL!O$24</f>
        <v>5408575.7502493486</v>
      </c>
      <c r="N94" s="168">
        <f>PL!P$24</f>
        <v>5543790.1440055817</v>
      </c>
      <c r="O94" s="168">
        <f>PL!Q$24</f>
        <v>5682384.8976057209</v>
      </c>
      <c r="P94" s="168">
        <f>PL!R$24</f>
        <v>5824444.5200458635</v>
      </c>
      <c r="Q94" s="168">
        <f>PL!T$24</f>
        <v>5970055.6330470098</v>
      </c>
      <c r="R94" s="168">
        <f>PL!U$24</f>
        <v>6119307.0238731848</v>
      </c>
      <c r="S94" s="168">
        <f>PL!V$24</f>
        <v>6272289.6994700134</v>
      </c>
      <c r="T94" s="168">
        <f>PL!W$24</f>
        <v>6429096.9419567632</v>
      </c>
      <c r="U94" s="168">
        <f>PL!Y$24</f>
        <v>6589824.3655056814</v>
      </c>
      <c r="V94" s="168">
        <f>PL!Z$24</f>
        <v>6754569.9746433226</v>
      </c>
      <c r="W94" s="168">
        <f>PL!AA$24</f>
        <v>6923434.2240094049</v>
      </c>
      <c r="X94" s="168">
        <f>PL!AB$24</f>
        <v>7096520.079609639</v>
      </c>
    </row>
    <row r="95" spans="1:25" s="61" customFormat="1" hidden="1" outlineLevel="1">
      <c r="B95" s="168" t="str">
        <f>PL!B$26</f>
        <v>Other Cost</v>
      </c>
      <c r="C95" s="168">
        <f>PL!C$26</f>
        <v>0</v>
      </c>
      <c r="D95" s="168">
        <f>PL!D$26</f>
        <v>0</v>
      </c>
      <c r="E95" s="168">
        <f>PL!E$26</f>
        <v>0</v>
      </c>
      <c r="F95" s="168">
        <f>PL!F$26</f>
        <v>0</v>
      </c>
      <c r="G95" s="168">
        <f>PL!G$26</f>
        <v>8819999.9999999981</v>
      </c>
      <c r="H95" s="168">
        <f>PL!H$26</f>
        <v>10780000</v>
      </c>
      <c r="I95" s="168">
        <f>PL!J$26</f>
        <v>0</v>
      </c>
      <c r="J95" s="168">
        <f>PL!K$26</f>
        <v>0</v>
      </c>
      <c r="K95" s="168">
        <f>PL!L$26</f>
        <v>9450000</v>
      </c>
      <c r="L95" s="168">
        <f>PL!M$26</f>
        <v>13650000</v>
      </c>
      <c r="M95" s="168">
        <f>PL!O$26</f>
        <v>0</v>
      </c>
      <c r="N95" s="168">
        <f>PL!P$26</f>
        <v>0</v>
      </c>
      <c r="O95" s="168">
        <f>PL!Q$26</f>
        <v>11200000</v>
      </c>
      <c r="P95" s="168">
        <f>PL!R$26</f>
        <v>15680000</v>
      </c>
      <c r="Q95" s="168">
        <f>PL!T$26</f>
        <v>0</v>
      </c>
      <c r="R95" s="168">
        <f>PL!U$26</f>
        <v>0</v>
      </c>
      <c r="S95" s="168">
        <f>PL!V$26</f>
        <v>12180000</v>
      </c>
      <c r="T95" s="168">
        <f>PL!W$26</f>
        <v>19488000</v>
      </c>
      <c r="U95" s="168">
        <f>PL!Y$26</f>
        <v>0</v>
      </c>
      <c r="V95" s="168">
        <f>PL!Z$26</f>
        <v>0</v>
      </c>
      <c r="W95" s="168">
        <f>PL!AA$26</f>
        <v>13300000</v>
      </c>
      <c r="X95" s="168">
        <f>PL!AB$26</f>
        <v>23940000</v>
      </c>
    </row>
    <row r="96" spans="1:25" hidden="1" outlineLevel="1">
      <c r="B96" s="71" t="str">
        <f>B83</f>
        <v>Raw material (sugarcane)</v>
      </c>
      <c r="C96" s="71">
        <f>SUM(E96:X96)</f>
        <v>338800000</v>
      </c>
      <c r="D96" s="71"/>
      <c r="E96" s="71">
        <f t="shared" ref="E96:X96" si="55">IFERROR(E$91/E$90*E$83,0)</f>
        <v>0</v>
      </c>
      <c r="F96" s="71">
        <f t="shared" si="55"/>
        <v>0</v>
      </c>
      <c r="G96" s="71">
        <f t="shared" si="55"/>
        <v>138599999.99999997</v>
      </c>
      <c r="H96" s="71">
        <f t="shared" si="55"/>
        <v>200200000</v>
      </c>
      <c r="I96" s="71">
        <f t="shared" si="55"/>
        <v>0</v>
      </c>
      <c r="J96" s="71">
        <f t="shared" si="55"/>
        <v>0</v>
      </c>
      <c r="K96" s="71">
        <f t="shared" si="55"/>
        <v>0</v>
      </c>
      <c r="L96" s="71">
        <f t="shared" si="55"/>
        <v>0</v>
      </c>
      <c r="M96" s="71">
        <f t="shared" si="55"/>
        <v>0</v>
      </c>
      <c r="N96" s="71">
        <f t="shared" si="55"/>
        <v>0</v>
      </c>
      <c r="O96" s="71">
        <f t="shared" si="55"/>
        <v>0</v>
      </c>
      <c r="P96" s="71">
        <f t="shared" si="55"/>
        <v>0</v>
      </c>
      <c r="Q96" s="71">
        <f t="shared" si="55"/>
        <v>0</v>
      </c>
      <c r="R96" s="71">
        <f t="shared" si="55"/>
        <v>0</v>
      </c>
      <c r="S96" s="71">
        <f t="shared" si="55"/>
        <v>0</v>
      </c>
      <c r="T96" s="71">
        <f t="shared" si="55"/>
        <v>0</v>
      </c>
      <c r="U96" s="71">
        <f t="shared" si="55"/>
        <v>0</v>
      </c>
      <c r="V96" s="71">
        <f t="shared" si="55"/>
        <v>0</v>
      </c>
      <c r="W96" s="71">
        <f t="shared" si="55"/>
        <v>0</v>
      </c>
      <c r="X96" s="71">
        <f t="shared" si="55"/>
        <v>0</v>
      </c>
    </row>
    <row r="97" spans="1:25" hidden="1" outlineLevel="1">
      <c r="B97" s="71" t="str">
        <f>B84</f>
        <v>Labour Cost</v>
      </c>
      <c r="C97" s="71">
        <f>SUM(E97:X97)</f>
        <v>1710577.7777777773</v>
      </c>
      <c r="D97" s="71"/>
      <c r="E97" s="71">
        <f>E$92/E$90*E$84</f>
        <v>0</v>
      </c>
      <c r="F97" s="71">
        <f t="shared" ref="F97:X97" si="56">IFERROR(F$92/F$90*F$84,0)</f>
        <v>0</v>
      </c>
      <c r="G97" s="71">
        <f t="shared" si="56"/>
        <v>839999.99999999988</v>
      </c>
      <c r="H97" s="71">
        <f t="shared" si="56"/>
        <v>68444.444444444438</v>
      </c>
      <c r="I97" s="71">
        <f t="shared" si="56"/>
        <v>0</v>
      </c>
      <c r="J97" s="71">
        <f t="shared" si="56"/>
        <v>0</v>
      </c>
      <c r="K97" s="71">
        <f t="shared" si="56"/>
        <v>60000</v>
      </c>
      <c r="L97" s="71">
        <f t="shared" si="56"/>
        <v>86666.666666666672</v>
      </c>
      <c r="M97" s="71">
        <f t="shared" si="56"/>
        <v>0</v>
      </c>
      <c r="N97" s="71">
        <f t="shared" si="56"/>
        <v>0</v>
      </c>
      <c r="O97" s="71">
        <f t="shared" si="56"/>
        <v>71111.111111111109</v>
      </c>
      <c r="P97" s="71">
        <f t="shared" si="56"/>
        <v>99555.555555555562</v>
      </c>
      <c r="Q97" s="71">
        <f t="shared" si="56"/>
        <v>0</v>
      </c>
      <c r="R97" s="71">
        <f t="shared" si="56"/>
        <v>0</v>
      </c>
      <c r="S97" s="71">
        <f t="shared" si="56"/>
        <v>77333.333333333328</v>
      </c>
      <c r="T97" s="71">
        <f t="shared" si="56"/>
        <v>123733.33333333333</v>
      </c>
      <c r="U97" s="71">
        <f t="shared" si="56"/>
        <v>0</v>
      </c>
      <c r="V97" s="71">
        <f t="shared" si="56"/>
        <v>0</v>
      </c>
      <c r="W97" s="71">
        <f t="shared" si="56"/>
        <v>101333.33333333333</v>
      </c>
      <c r="X97" s="71">
        <f t="shared" si="56"/>
        <v>182400</v>
      </c>
    </row>
    <row r="98" spans="1:25" hidden="1" outlineLevel="1">
      <c r="B98" s="71" t="str">
        <f>B85</f>
        <v>Power Cost</v>
      </c>
      <c r="C98" s="71">
        <f>SUM(E98:X98)</f>
        <v>-15990577.777777778</v>
      </c>
      <c r="D98" s="71"/>
      <c r="E98" s="71">
        <f t="shared" ref="E98:X98" si="57">IFERROR(E$93/E$90*E$85,0)</f>
        <v>0</v>
      </c>
      <c r="F98" s="71">
        <f t="shared" si="57"/>
        <v>0</v>
      </c>
      <c r="G98" s="71">
        <f t="shared" si="57"/>
        <v>-8580000</v>
      </c>
      <c r="H98" s="71">
        <f t="shared" si="57"/>
        <v>-699111.11111111112</v>
      </c>
      <c r="I98" s="71">
        <f t="shared" si="57"/>
        <v>0</v>
      </c>
      <c r="J98" s="71">
        <f t="shared" si="57"/>
        <v>0</v>
      </c>
      <c r="K98" s="71">
        <f t="shared" si="57"/>
        <v>-572000</v>
      </c>
      <c r="L98" s="71">
        <f t="shared" si="57"/>
        <v>-826222.22222222225</v>
      </c>
      <c r="M98" s="71">
        <f t="shared" si="57"/>
        <v>0</v>
      </c>
      <c r="N98" s="71">
        <f t="shared" si="57"/>
        <v>0</v>
      </c>
      <c r="O98" s="71">
        <f t="shared" si="57"/>
        <v>-635555.5555555555</v>
      </c>
      <c r="P98" s="71">
        <f t="shared" si="57"/>
        <v>-889777.77777777775</v>
      </c>
      <c r="Q98" s="71">
        <f t="shared" si="57"/>
        <v>0</v>
      </c>
      <c r="R98" s="71">
        <f t="shared" si="57"/>
        <v>0</v>
      </c>
      <c r="S98" s="71">
        <f t="shared" si="57"/>
        <v>-635555.5555555555</v>
      </c>
      <c r="T98" s="71">
        <f t="shared" si="57"/>
        <v>-1016888.8888888889</v>
      </c>
      <c r="U98" s="71">
        <f t="shared" si="57"/>
        <v>0</v>
      </c>
      <c r="V98" s="71">
        <f t="shared" si="57"/>
        <v>0</v>
      </c>
      <c r="W98" s="71">
        <f t="shared" si="57"/>
        <v>-762666.66666666663</v>
      </c>
      <c r="X98" s="71">
        <f t="shared" si="57"/>
        <v>-1372800</v>
      </c>
    </row>
    <row r="99" spans="1:25" hidden="1" outlineLevel="1">
      <c r="B99" s="71" t="str">
        <f>B86</f>
        <v>Salary for dedicated Staff</v>
      </c>
      <c r="C99" s="71">
        <f>SUM(E99:X99)</f>
        <v>3444535.5372805474</v>
      </c>
      <c r="D99" s="71"/>
      <c r="E99" s="71">
        <f t="shared" ref="E99:X99" si="58">IFERROR(E$94/E$90*E$86,0)</f>
        <v>739845</v>
      </c>
      <c r="F99" s="71">
        <f t="shared" si="58"/>
        <v>758341.125</v>
      </c>
      <c r="G99" s="71">
        <f t="shared" si="58"/>
        <v>777299.65312499995</v>
      </c>
      <c r="H99" s="71">
        <f t="shared" si="58"/>
        <v>53115.476296874986</v>
      </c>
      <c r="I99" s="71">
        <f t="shared" si="58"/>
        <v>54443.363204296853</v>
      </c>
      <c r="J99" s="71">
        <f t="shared" si="58"/>
        <v>55804.447284404268</v>
      </c>
      <c r="K99" s="71">
        <f t="shared" si="58"/>
        <v>57199.558466514376</v>
      </c>
      <c r="L99" s="71">
        <f t="shared" si="58"/>
        <v>58629.547428177226</v>
      </c>
      <c r="M99" s="71">
        <f t="shared" si="58"/>
        <v>60095.286113881652</v>
      </c>
      <c r="N99" s="71">
        <f t="shared" si="58"/>
        <v>61597.668266728688</v>
      </c>
      <c r="O99" s="71">
        <f t="shared" si="58"/>
        <v>63137.609973396902</v>
      </c>
      <c r="P99" s="71">
        <f t="shared" si="58"/>
        <v>64716.050222731814</v>
      </c>
      <c r="Q99" s="71">
        <f t="shared" si="58"/>
        <v>66333.951478300107</v>
      </c>
      <c r="R99" s="71">
        <f t="shared" si="58"/>
        <v>67992.300265257611</v>
      </c>
      <c r="S99" s="71">
        <f t="shared" si="58"/>
        <v>69692.107771889045</v>
      </c>
      <c r="T99" s="71">
        <f t="shared" si="58"/>
        <v>71434.410466186251</v>
      </c>
      <c r="U99" s="71">
        <f t="shared" si="58"/>
        <v>87864.324873409088</v>
      </c>
      <c r="V99" s="71">
        <f t="shared" si="58"/>
        <v>90060.932995244308</v>
      </c>
      <c r="W99" s="71">
        <f t="shared" si="58"/>
        <v>92312.456320125391</v>
      </c>
      <c r="X99" s="71">
        <f t="shared" si="58"/>
        <v>94620.267728128514</v>
      </c>
    </row>
    <row r="100" spans="1:25" hidden="1" outlineLevel="1">
      <c r="B100" s="71" t="str">
        <f>B87</f>
        <v>Other Cost</v>
      </c>
      <c r="C100" s="71">
        <f>SUM(E100:X100)</f>
        <v>6040533.333333333</v>
      </c>
      <c r="D100" s="71"/>
      <c r="E100" s="71">
        <f t="shared" ref="E100:X100" si="59">IFERROR(E$95/E$90*E$87,0)</f>
        <v>0</v>
      </c>
      <c r="F100" s="71">
        <f t="shared" si="59"/>
        <v>0</v>
      </c>
      <c r="G100" s="71">
        <f t="shared" si="59"/>
        <v>1469999.9999999998</v>
      </c>
      <c r="H100" s="71">
        <f t="shared" si="59"/>
        <v>359333.33333333337</v>
      </c>
      <c r="I100" s="71">
        <f t="shared" si="59"/>
        <v>0</v>
      </c>
      <c r="J100" s="71">
        <f t="shared" si="59"/>
        <v>0</v>
      </c>
      <c r="K100" s="71">
        <f t="shared" si="59"/>
        <v>315000</v>
      </c>
      <c r="L100" s="71">
        <f t="shared" si="59"/>
        <v>455000</v>
      </c>
      <c r="M100" s="71">
        <f t="shared" si="59"/>
        <v>0</v>
      </c>
      <c r="N100" s="71">
        <f t="shared" si="59"/>
        <v>0</v>
      </c>
      <c r="O100" s="71">
        <f t="shared" si="59"/>
        <v>373333.33333333331</v>
      </c>
      <c r="P100" s="71">
        <f t="shared" si="59"/>
        <v>522666.66666666663</v>
      </c>
      <c r="Q100" s="71">
        <f t="shared" si="59"/>
        <v>0</v>
      </c>
      <c r="R100" s="71">
        <f t="shared" si="59"/>
        <v>0</v>
      </c>
      <c r="S100" s="71">
        <f t="shared" si="59"/>
        <v>406000</v>
      </c>
      <c r="T100" s="71">
        <f t="shared" si="59"/>
        <v>649600</v>
      </c>
      <c r="U100" s="71">
        <f t="shared" si="59"/>
        <v>0</v>
      </c>
      <c r="V100" s="71">
        <f t="shared" si="59"/>
        <v>0</v>
      </c>
      <c r="W100" s="71">
        <f t="shared" si="59"/>
        <v>532000</v>
      </c>
      <c r="X100" s="71">
        <f t="shared" si="59"/>
        <v>957600</v>
      </c>
    </row>
    <row r="101" spans="1:25" s="61" customFormat="1" hidden="1" outlineLevel="1">
      <c r="B101" s="70" t="s">
        <v>162</v>
      </c>
      <c r="C101" s="70"/>
      <c r="D101" s="70"/>
      <c r="E101" s="70">
        <f>SUM(E96:E100)</f>
        <v>739845</v>
      </c>
      <c r="F101" s="70">
        <f t="shared" ref="F101:X101" si="60">SUM(F96:F100)</f>
        <v>758341.125</v>
      </c>
      <c r="G101" s="70">
        <f>SUM(G96:G100)</f>
        <v>133107299.65312497</v>
      </c>
      <c r="H101" s="70">
        <f>SUM(H96:H100)</f>
        <v>199981782.14296356</v>
      </c>
      <c r="I101" s="70">
        <f>SUM(I96:I100)</f>
        <v>54443.363204296853</v>
      </c>
      <c r="J101" s="70">
        <f t="shared" si="60"/>
        <v>55804.447284404268</v>
      </c>
      <c r="K101" s="70">
        <f t="shared" si="60"/>
        <v>-139800.4415334856</v>
      </c>
      <c r="L101" s="70">
        <f t="shared" si="60"/>
        <v>-225926.00812737842</v>
      </c>
      <c r="M101" s="70">
        <f t="shared" si="60"/>
        <v>60095.286113881652</v>
      </c>
      <c r="N101" s="70">
        <f t="shared" si="60"/>
        <v>61597.668266728688</v>
      </c>
      <c r="O101" s="70">
        <f t="shared" si="60"/>
        <v>-127973.50113771419</v>
      </c>
      <c r="P101" s="70">
        <f t="shared" si="60"/>
        <v>-202839.50533282384</v>
      </c>
      <c r="Q101" s="70">
        <f t="shared" si="60"/>
        <v>66333.951478300107</v>
      </c>
      <c r="R101" s="70">
        <f t="shared" si="60"/>
        <v>67992.300265257611</v>
      </c>
      <c r="S101" s="70">
        <f t="shared" si="60"/>
        <v>-82530.114450333058</v>
      </c>
      <c r="T101" s="70">
        <f t="shared" si="60"/>
        <v>-172121.14508936927</v>
      </c>
      <c r="U101" s="70">
        <f t="shared" si="60"/>
        <v>87864.324873409088</v>
      </c>
      <c r="V101" s="70">
        <f t="shared" si="60"/>
        <v>90060.932995244308</v>
      </c>
      <c r="W101" s="70">
        <f>SUM(W96:W100)</f>
        <v>-37020.877013207879</v>
      </c>
      <c r="X101" s="70">
        <f t="shared" si="60"/>
        <v>-138179.73227187153</v>
      </c>
    </row>
    <row r="102" spans="1:25" hidden="1" outlineLevel="1"/>
    <row r="103" spans="1:25" hidden="1" outlineLevel="1">
      <c r="A103" s="61" t="s">
        <v>367</v>
      </c>
      <c r="B103" s="61" t="s">
        <v>371</v>
      </c>
    </row>
    <row r="104" spans="1:25" hidden="1" outlineLevel="1">
      <c r="B104" s="71" t="s">
        <v>284</v>
      </c>
      <c r="C104" s="71"/>
      <c r="D104" s="71"/>
      <c r="E104" s="71">
        <v>7</v>
      </c>
      <c r="F104" s="71">
        <v>7</v>
      </c>
      <c r="G104" s="71">
        <v>7</v>
      </c>
      <c r="H104" s="71">
        <v>25</v>
      </c>
      <c r="I104" s="71">
        <f t="shared" ref="I104:K105" si="61">H104</f>
        <v>25</v>
      </c>
      <c r="J104" s="71">
        <f t="shared" si="61"/>
        <v>25</v>
      </c>
      <c r="K104" s="71">
        <f t="shared" si="61"/>
        <v>25</v>
      </c>
      <c r="L104" s="71">
        <v>3</v>
      </c>
      <c r="M104" s="71">
        <f>L104</f>
        <v>3</v>
      </c>
      <c r="N104" s="71">
        <f t="shared" ref="N104:P106" si="62">M104</f>
        <v>3</v>
      </c>
      <c r="O104" s="71">
        <f t="shared" si="62"/>
        <v>3</v>
      </c>
      <c r="P104" s="71">
        <f t="shared" si="62"/>
        <v>3</v>
      </c>
      <c r="Q104" s="71">
        <f t="shared" ref="Q104:R108" si="63">P104</f>
        <v>3</v>
      </c>
      <c r="R104" s="71">
        <f t="shared" si="63"/>
        <v>3</v>
      </c>
      <c r="S104" s="71">
        <f t="shared" ref="S104:X108" si="64">R104</f>
        <v>3</v>
      </c>
      <c r="T104" s="71">
        <f t="shared" si="64"/>
        <v>3</v>
      </c>
      <c r="U104" s="71">
        <f t="shared" si="64"/>
        <v>3</v>
      </c>
      <c r="V104" s="71">
        <f t="shared" si="64"/>
        <v>3</v>
      </c>
      <c r="W104" s="71">
        <f t="shared" si="64"/>
        <v>3</v>
      </c>
      <c r="X104" s="71">
        <f t="shared" si="64"/>
        <v>3</v>
      </c>
    </row>
    <row r="105" spans="1:25" hidden="1" outlineLevel="1">
      <c r="B105" s="71" t="s">
        <v>285</v>
      </c>
      <c r="C105" s="71"/>
      <c r="D105" s="71"/>
      <c r="E105" s="71">
        <v>7</v>
      </c>
      <c r="F105" s="71">
        <f t="shared" ref="F105:G108" si="65">E105</f>
        <v>7</v>
      </c>
      <c r="G105" s="71">
        <f t="shared" si="65"/>
        <v>7</v>
      </c>
      <c r="H105" s="71">
        <v>1</v>
      </c>
      <c r="I105" s="71">
        <f t="shared" si="61"/>
        <v>1</v>
      </c>
      <c r="J105" s="71">
        <f t="shared" si="61"/>
        <v>1</v>
      </c>
      <c r="K105" s="71">
        <f t="shared" si="61"/>
        <v>1</v>
      </c>
      <c r="L105" s="71">
        <f>K105</f>
        <v>1</v>
      </c>
      <c r="M105" s="71">
        <f>L105</f>
        <v>1</v>
      </c>
      <c r="N105" s="71">
        <f t="shared" si="62"/>
        <v>1</v>
      </c>
      <c r="O105" s="71">
        <f t="shared" si="62"/>
        <v>1</v>
      </c>
      <c r="P105" s="71">
        <f t="shared" si="62"/>
        <v>1</v>
      </c>
      <c r="Q105" s="71">
        <f t="shared" si="63"/>
        <v>1</v>
      </c>
      <c r="R105" s="71">
        <f t="shared" si="63"/>
        <v>1</v>
      </c>
      <c r="S105" s="71">
        <f t="shared" si="64"/>
        <v>1</v>
      </c>
      <c r="T105" s="71">
        <f t="shared" si="64"/>
        <v>1</v>
      </c>
      <c r="U105" s="71">
        <f t="shared" si="64"/>
        <v>1</v>
      </c>
      <c r="V105" s="71">
        <f t="shared" si="64"/>
        <v>1</v>
      </c>
      <c r="W105" s="71">
        <f t="shared" si="64"/>
        <v>1</v>
      </c>
      <c r="X105" s="71">
        <f t="shared" si="64"/>
        <v>1</v>
      </c>
    </row>
    <row r="106" spans="1:25" hidden="1" outlineLevel="1">
      <c r="B106" s="71" t="s">
        <v>264</v>
      </c>
      <c r="C106" s="71"/>
      <c r="D106" s="71"/>
      <c r="E106" s="71">
        <v>7</v>
      </c>
      <c r="F106" s="71">
        <f t="shared" si="65"/>
        <v>7</v>
      </c>
      <c r="G106" s="71">
        <f t="shared" si="65"/>
        <v>7</v>
      </c>
      <c r="H106" s="71">
        <v>1</v>
      </c>
      <c r="I106" s="71">
        <v>1</v>
      </c>
      <c r="J106" s="71">
        <v>1</v>
      </c>
      <c r="K106" s="71">
        <v>0</v>
      </c>
      <c r="L106" s="71">
        <f>K106</f>
        <v>0</v>
      </c>
      <c r="M106" s="71">
        <f>L106</f>
        <v>0</v>
      </c>
      <c r="N106" s="71">
        <f t="shared" si="62"/>
        <v>0</v>
      </c>
      <c r="O106" s="71">
        <f t="shared" si="62"/>
        <v>0</v>
      </c>
      <c r="P106" s="71">
        <f t="shared" si="62"/>
        <v>0</v>
      </c>
      <c r="Q106" s="71">
        <f t="shared" si="63"/>
        <v>0</v>
      </c>
      <c r="R106" s="71">
        <f t="shared" si="63"/>
        <v>0</v>
      </c>
      <c r="S106" s="71">
        <f t="shared" si="64"/>
        <v>0</v>
      </c>
      <c r="T106" s="71">
        <f t="shared" si="64"/>
        <v>0</v>
      </c>
      <c r="U106" s="71">
        <f t="shared" si="64"/>
        <v>0</v>
      </c>
      <c r="V106" s="71">
        <f t="shared" si="64"/>
        <v>0</v>
      </c>
      <c r="W106" s="71">
        <f t="shared" si="64"/>
        <v>0</v>
      </c>
      <c r="X106" s="71">
        <f t="shared" si="64"/>
        <v>0</v>
      </c>
    </row>
    <row r="107" spans="1:25" hidden="1" outlineLevel="1">
      <c r="B107" s="71" t="s">
        <v>286</v>
      </c>
      <c r="C107" s="71"/>
      <c r="D107" s="71"/>
      <c r="E107" s="71">
        <v>7</v>
      </c>
      <c r="F107" s="71">
        <f t="shared" si="65"/>
        <v>7</v>
      </c>
      <c r="G107" s="71">
        <f t="shared" si="65"/>
        <v>7</v>
      </c>
      <c r="H107" s="71">
        <v>1</v>
      </c>
      <c r="I107" s="71">
        <f t="shared" ref="I107:K108" si="66">H107</f>
        <v>1</v>
      </c>
      <c r="J107" s="71">
        <f t="shared" si="66"/>
        <v>1</v>
      </c>
      <c r="K107" s="71">
        <f t="shared" si="66"/>
        <v>1</v>
      </c>
      <c r="L107" s="71">
        <f>K107</f>
        <v>1</v>
      </c>
      <c r="M107" s="71">
        <f>L107</f>
        <v>1</v>
      </c>
      <c r="N107" s="71">
        <f t="shared" ref="N107:P108" si="67">M107</f>
        <v>1</v>
      </c>
      <c r="O107" s="71">
        <f t="shared" si="67"/>
        <v>1</v>
      </c>
      <c r="P107" s="71">
        <f t="shared" si="67"/>
        <v>1</v>
      </c>
      <c r="Q107" s="71">
        <f t="shared" si="63"/>
        <v>1</v>
      </c>
      <c r="R107" s="71">
        <f t="shared" si="63"/>
        <v>1</v>
      </c>
      <c r="S107" s="71">
        <f t="shared" si="64"/>
        <v>1</v>
      </c>
      <c r="T107" s="71">
        <f t="shared" si="64"/>
        <v>1</v>
      </c>
      <c r="U107" s="71">
        <f t="shared" si="64"/>
        <v>1</v>
      </c>
      <c r="V107" s="71">
        <f t="shared" si="64"/>
        <v>1</v>
      </c>
      <c r="W107" s="71">
        <f t="shared" si="64"/>
        <v>1</v>
      </c>
      <c r="X107" s="71">
        <f t="shared" si="64"/>
        <v>1</v>
      </c>
    </row>
    <row r="108" spans="1:25" hidden="1" outlineLevel="1">
      <c r="B108" s="71" t="s">
        <v>380</v>
      </c>
      <c r="C108" s="71"/>
      <c r="D108" s="71"/>
      <c r="E108" s="71">
        <v>7</v>
      </c>
      <c r="F108" s="71">
        <f t="shared" si="65"/>
        <v>7</v>
      </c>
      <c r="G108" s="71">
        <f t="shared" si="65"/>
        <v>7</v>
      </c>
      <c r="H108" s="71">
        <v>1</v>
      </c>
      <c r="I108" s="71">
        <f t="shared" si="66"/>
        <v>1</v>
      </c>
      <c r="J108" s="71">
        <f t="shared" si="66"/>
        <v>1</v>
      </c>
      <c r="K108" s="71">
        <f t="shared" si="66"/>
        <v>1</v>
      </c>
      <c r="L108" s="71">
        <f>K108</f>
        <v>1</v>
      </c>
      <c r="M108" s="71">
        <f>L108</f>
        <v>1</v>
      </c>
      <c r="N108" s="71">
        <f t="shared" si="67"/>
        <v>1</v>
      </c>
      <c r="O108" s="71">
        <f t="shared" si="67"/>
        <v>1</v>
      </c>
      <c r="P108" s="71">
        <f t="shared" si="67"/>
        <v>1</v>
      </c>
      <c r="Q108" s="71">
        <f t="shared" si="63"/>
        <v>1</v>
      </c>
      <c r="R108" s="71">
        <f t="shared" si="63"/>
        <v>1</v>
      </c>
      <c r="S108" s="71">
        <f t="shared" si="64"/>
        <v>1</v>
      </c>
      <c r="T108" s="71">
        <f t="shared" si="64"/>
        <v>1</v>
      </c>
      <c r="U108" s="71">
        <f t="shared" si="64"/>
        <v>1</v>
      </c>
      <c r="V108" s="71">
        <f t="shared" si="64"/>
        <v>1</v>
      </c>
      <c r="W108" s="71">
        <f t="shared" si="64"/>
        <v>1</v>
      </c>
      <c r="X108" s="71">
        <f t="shared" si="64"/>
        <v>1</v>
      </c>
    </row>
    <row r="109" spans="1:25" hidden="1" outlineLevel="1"/>
    <row r="110" spans="1:25" hidden="1" outlineLevel="1">
      <c r="A110" s="101" t="s">
        <v>367</v>
      </c>
      <c r="B110" s="61" t="s">
        <v>343</v>
      </c>
    </row>
    <row r="111" spans="1:25" s="61" customFormat="1" hidden="1" outlineLevel="1">
      <c r="B111" s="169" t="str">
        <f t="shared" ref="B111:Y111" si="68">B$53</f>
        <v>No..of days of operation(days)</v>
      </c>
      <c r="C111" s="168">
        <f t="shared" si="68"/>
        <v>0</v>
      </c>
      <c r="D111" s="168">
        <f t="shared" si="68"/>
        <v>0</v>
      </c>
      <c r="E111" s="168">
        <f t="shared" si="68"/>
        <v>90</v>
      </c>
      <c r="F111" s="168">
        <f t="shared" si="68"/>
        <v>90</v>
      </c>
      <c r="G111" s="168">
        <f t="shared" si="68"/>
        <v>90</v>
      </c>
      <c r="H111" s="168">
        <f t="shared" si="68"/>
        <v>90</v>
      </c>
      <c r="I111" s="168">
        <f t="shared" si="68"/>
        <v>90</v>
      </c>
      <c r="J111" s="168">
        <f t="shared" si="68"/>
        <v>90</v>
      </c>
      <c r="K111" s="168">
        <f t="shared" si="68"/>
        <v>90</v>
      </c>
      <c r="L111" s="168">
        <f t="shared" si="68"/>
        <v>90</v>
      </c>
      <c r="M111" s="168">
        <f t="shared" si="68"/>
        <v>90</v>
      </c>
      <c r="N111" s="168">
        <f t="shared" si="68"/>
        <v>90</v>
      </c>
      <c r="O111" s="168">
        <f t="shared" si="68"/>
        <v>90</v>
      </c>
      <c r="P111" s="168">
        <f t="shared" si="68"/>
        <v>90</v>
      </c>
      <c r="Q111" s="168">
        <f t="shared" si="68"/>
        <v>90</v>
      </c>
      <c r="R111" s="168">
        <f t="shared" si="68"/>
        <v>90</v>
      </c>
      <c r="S111" s="168">
        <f t="shared" si="68"/>
        <v>90</v>
      </c>
      <c r="T111" s="168">
        <f t="shared" si="68"/>
        <v>90</v>
      </c>
      <c r="U111" s="168">
        <f t="shared" si="68"/>
        <v>75</v>
      </c>
      <c r="V111" s="168">
        <f t="shared" si="68"/>
        <v>75</v>
      </c>
      <c r="W111" s="168">
        <f t="shared" si="68"/>
        <v>75</v>
      </c>
      <c r="X111" s="168">
        <f t="shared" si="68"/>
        <v>75</v>
      </c>
      <c r="Y111" s="61">
        <f t="shared" si="68"/>
        <v>0</v>
      </c>
    </row>
    <row r="112" spans="1:25" hidden="1" outlineLevel="1">
      <c r="A112" s="101"/>
      <c r="B112" s="169" t="str">
        <f>PL!B$29</f>
        <v>Cost of Corn Purchase</v>
      </c>
      <c r="C112" s="168">
        <f>PL!C$29</f>
        <v>0</v>
      </c>
      <c r="D112" s="168">
        <f>PL!D$29</f>
        <v>0</v>
      </c>
      <c r="E112" s="168">
        <f>PL!E$29</f>
        <v>0</v>
      </c>
      <c r="F112" s="168">
        <f>PL!F$29</f>
        <v>0</v>
      </c>
      <c r="G112" s="168">
        <f>PL!G$29</f>
        <v>1919204542.9014359</v>
      </c>
      <c r="H112" s="168">
        <f>PL!H$29</f>
        <v>1873509196.6418779</v>
      </c>
      <c r="I112" s="168">
        <f>PL!J$29</f>
        <v>1873509196.6418779</v>
      </c>
      <c r="J112" s="168">
        <f>PL!K$29</f>
        <v>1873509196.6418779</v>
      </c>
      <c r="K112" s="168">
        <f>PL!L$29</f>
        <v>7141345945.0148659</v>
      </c>
      <c r="L112" s="168">
        <f>PL!M$29</f>
        <v>0</v>
      </c>
      <c r="M112" s="168">
        <f>PL!O$29</f>
        <v>0</v>
      </c>
      <c r="N112" s="168">
        <f>PL!P$29</f>
        <v>0</v>
      </c>
      <c r="O112" s="168">
        <f>PL!Q$29</f>
        <v>7336999258.5769176</v>
      </c>
      <c r="P112" s="168">
        <f>PL!R$29</f>
        <v>0</v>
      </c>
      <c r="Q112" s="168">
        <f>PL!T$29</f>
        <v>0</v>
      </c>
      <c r="R112" s="168">
        <f>PL!U$29</f>
        <v>0</v>
      </c>
      <c r="S112" s="168">
        <f>PL!V$29</f>
        <v>7532652572.1389675</v>
      </c>
      <c r="T112" s="168">
        <f>PL!W$29</f>
        <v>0</v>
      </c>
      <c r="U112" s="168">
        <f>PL!Y$29</f>
        <v>0</v>
      </c>
      <c r="V112" s="168">
        <f>PL!Z$29</f>
        <v>0</v>
      </c>
      <c r="W112" s="168">
        <f>PL!AA$29</f>
        <v>7728305885.7010193</v>
      </c>
      <c r="X112" s="168">
        <f>PL!AB$29</f>
        <v>0</v>
      </c>
    </row>
    <row r="113" spans="1:24" hidden="1" outlineLevel="1">
      <c r="A113" s="101"/>
      <c r="B113" s="169" t="str">
        <f>PL!B$30</f>
        <v>Labour Cost</v>
      </c>
      <c r="C113" s="168">
        <f>PL!C$30</f>
        <v>0</v>
      </c>
      <c r="D113" s="168">
        <f>PL!D$30</f>
        <v>0</v>
      </c>
      <c r="E113" s="168">
        <f>PL!E$30</f>
        <v>0</v>
      </c>
      <c r="F113" s="168">
        <f>PL!F$30</f>
        <v>0</v>
      </c>
      <c r="G113" s="168">
        <f>PL!G$30</f>
        <v>4569534.6259557996</v>
      </c>
      <c r="H113" s="168">
        <f>PL!H$30</f>
        <v>4569534.6259557996</v>
      </c>
      <c r="I113" s="168">
        <f>PL!J$30</f>
        <v>4569534.6259557996</v>
      </c>
      <c r="J113" s="168">
        <f>PL!K$30</f>
        <v>4569534.6259557996</v>
      </c>
      <c r="K113" s="168">
        <f>PL!L$30</f>
        <v>4698253.9111939911</v>
      </c>
      <c r="L113" s="168">
        <f>PL!M$30</f>
        <v>4698253.9111939911</v>
      </c>
      <c r="M113" s="168">
        <f>PL!O$30</f>
        <v>4698253.9111939911</v>
      </c>
      <c r="N113" s="168">
        <f>PL!P$30</f>
        <v>4698253.9111939911</v>
      </c>
      <c r="O113" s="168">
        <f>PL!Q$30</f>
        <v>4826973.1964321826</v>
      </c>
      <c r="P113" s="168">
        <f>PL!R$30</f>
        <v>4826973.1964321826</v>
      </c>
      <c r="Q113" s="168">
        <f>PL!T$30</f>
        <v>4826973.1964321826</v>
      </c>
      <c r="R113" s="168">
        <f>PL!U$30</f>
        <v>4826973.1964321826</v>
      </c>
      <c r="S113" s="168">
        <f>PL!V$30</f>
        <v>4955692.4816703741</v>
      </c>
      <c r="T113" s="168">
        <f>PL!W$30</f>
        <v>4955692.4816703741</v>
      </c>
      <c r="U113" s="168">
        <f>PL!Y$30</f>
        <v>4955692.4816703741</v>
      </c>
      <c r="V113" s="168">
        <f>PL!Z$30</f>
        <v>4955692.4816703741</v>
      </c>
      <c r="W113" s="168">
        <f>PL!AA$30</f>
        <v>5084411.7669085655</v>
      </c>
      <c r="X113" s="168">
        <f>PL!AB$30</f>
        <v>5084411.7669085655</v>
      </c>
    </row>
    <row r="114" spans="1:24" hidden="1" outlineLevel="1">
      <c r="A114" s="101"/>
      <c r="B114" s="169" t="str">
        <f>PL!B$31</f>
        <v>Power Cost</v>
      </c>
      <c r="C114" s="168">
        <f>PL!C$31</f>
        <v>0</v>
      </c>
      <c r="D114" s="168">
        <f>PL!D$31</f>
        <v>0</v>
      </c>
      <c r="E114" s="168">
        <f>PL!E$31</f>
        <v>0</v>
      </c>
      <c r="F114" s="168">
        <f>PL!F$31</f>
        <v>0</v>
      </c>
      <c r="G114" s="168">
        <f>PL!G$31</f>
        <v>-28737500</v>
      </c>
      <c r="H114" s="168">
        <f>PL!H$31</f>
        <v>-28737500</v>
      </c>
      <c r="I114" s="168">
        <f>PL!J$31</f>
        <v>-28737500</v>
      </c>
      <c r="J114" s="168">
        <f>PL!K$31</f>
        <v>-28737500</v>
      </c>
      <c r="K114" s="168">
        <f>PL!L$31</f>
        <v>-28737500</v>
      </c>
      <c r="L114" s="168">
        <f>PL!M$31</f>
        <v>-28737500</v>
      </c>
      <c r="M114" s="168">
        <f>PL!O$31</f>
        <v>-28737500</v>
      </c>
      <c r="N114" s="168">
        <f>PL!P$31</f>
        <v>731600.71428566054</v>
      </c>
      <c r="O114" s="168">
        <f>PL!Q$31</f>
        <v>-28737500</v>
      </c>
      <c r="P114" s="168">
        <f>PL!R$31</f>
        <v>-28737500</v>
      </c>
      <c r="Q114" s="168">
        <f>PL!T$31</f>
        <v>-28737500</v>
      </c>
      <c r="R114" s="168">
        <f>PL!U$31</f>
        <v>22382499.999999978</v>
      </c>
      <c r="S114" s="168">
        <f>PL!V$31</f>
        <v>-28737500</v>
      </c>
      <c r="T114" s="168">
        <f>PL!W$31</f>
        <v>-28737500</v>
      </c>
      <c r="U114" s="168">
        <f>PL!Y$31</f>
        <v>-28737500</v>
      </c>
      <c r="V114" s="168">
        <f>PL!Z$31</f>
        <v>-28737500</v>
      </c>
      <c r="W114" s="168">
        <f>PL!AA$31</f>
        <v>-28737500</v>
      </c>
      <c r="X114" s="168">
        <f>PL!AB$31</f>
        <v>-28737500</v>
      </c>
    </row>
    <row r="115" spans="1:24" hidden="1" outlineLevel="1">
      <c r="A115" s="101"/>
      <c r="B115" s="169" t="str">
        <f>PL!B$32</f>
        <v>Salary for dedicated Staff</v>
      </c>
      <c r="C115" s="168">
        <f>PL!C$32</f>
        <v>0</v>
      </c>
      <c r="D115" s="168">
        <f>PL!D$32</f>
        <v>0</v>
      </c>
      <c r="E115" s="168">
        <f>PL!E$32</f>
        <v>3465524.9999999995</v>
      </c>
      <c r="F115" s="168">
        <f>PL!F$32</f>
        <v>3552163.1249999995</v>
      </c>
      <c r="G115" s="168">
        <f>PL!G$32</f>
        <v>4610168.7656249991</v>
      </c>
      <c r="H115" s="168">
        <f>PL!H$32</f>
        <v>5139352.8187499987</v>
      </c>
      <c r="I115" s="168">
        <f>PL!J$32</f>
        <v>5267836.6392187485</v>
      </c>
      <c r="J115" s="168">
        <f>PL!K$32</f>
        <v>5399532.5551992171</v>
      </c>
      <c r="K115" s="168">
        <f>PL!L$32</f>
        <v>5534520.8690791959</v>
      </c>
      <c r="L115" s="168">
        <f>PL!M$32</f>
        <v>5672883.8908061758</v>
      </c>
      <c r="M115" s="168">
        <f>PL!O$32</f>
        <v>5814705.9880763292</v>
      </c>
      <c r="N115" s="168">
        <f>PL!P$32</f>
        <v>5960073.6377782365</v>
      </c>
      <c r="O115" s="168">
        <f>PL!Q$32</f>
        <v>6109075.4787226925</v>
      </c>
      <c r="P115" s="168">
        <f>PL!R$32</f>
        <v>6261802.3656907594</v>
      </c>
      <c r="Q115" s="168">
        <f>PL!T$32</f>
        <v>6418347.4248330276</v>
      </c>
      <c r="R115" s="168">
        <f>PL!U$32</f>
        <v>6578806.1104538534</v>
      </c>
      <c r="S115" s="168">
        <f>PL!V$32</f>
        <v>6743276.2632151982</v>
      </c>
      <c r="T115" s="168">
        <f>PL!W$32</f>
        <v>6911858.1697955774</v>
      </c>
      <c r="U115" s="168">
        <f>PL!Y$32</f>
        <v>7084654.6240404667</v>
      </c>
      <c r="V115" s="168">
        <f>PL!Z$32</f>
        <v>7261770.9896414774</v>
      </c>
      <c r="W115" s="168">
        <f>PL!AA$32</f>
        <v>7443315.2643825132</v>
      </c>
      <c r="X115" s="168">
        <f>PL!AB$32</f>
        <v>7629398.1459920751</v>
      </c>
    </row>
    <row r="116" spans="1:24" hidden="1" outlineLevel="1">
      <c r="A116" s="101"/>
      <c r="B116" s="169" t="str">
        <f>PL!B$34</f>
        <v>Other Cost</v>
      </c>
      <c r="C116" s="168">
        <f>PL!C$34</f>
        <v>0</v>
      </c>
      <c r="D116" s="168">
        <f>PL!D$34</f>
        <v>0</v>
      </c>
      <c r="E116" s="168">
        <f>PL!E$34</f>
        <v>0</v>
      </c>
      <c r="F116" s="168">
        <f>PL!F$34</f>
        <v>0</v>
      </c>
      <c r="G116" s="168">
        <f>PL!G$34</f>
        <v>58575000</v>
      </c>
      <c r="H116" s="168">
        <f>PL!H$34</f>
        <v>58575000</v>
      </c>
      <c r="I116" s="168">
        <f>PL!J$34</f>
        <v>58575000</v>
      </c>
      <c r="J116" s="168">
        <f>PL!K$34</f>
        <v>58575000</v>
      </c>
      <c r="K116" s="168">
        <f>PL!L$34</f>
        <v>60225000</v>
      </c>
      <c r="L116" s="168">
        <f>PL!M$34</f>
        <v>60225000</v>
      </c>
      <c r="M116" s="168">
        <f>PL!O$34</f>
        <v>60225000</v>
      </c>
      <c r="N116" s="168">
        <f>PL!P$34</f>
        <v>60225000</v>
      </c>
      <c r="O116" s="168">
        <f>PL!Q$34</f>
        <v>61875000</v>
      </c>
      <c r="P116" s="168">
        <f>PL!R$34</f>
        <v>61875000</v>
      </c>
      <c r="Q116" s="168">
        <f>PL!T$34</f>
        <v>61875000</v>
      </c>
      <c r="R116" s="168">
        <f>PL!U$34</f>
        <v>61875000</v>
      </c>
      <c r="S116" s="168">
        <f>PL!V$34</f>
        <v>63525000</v>
      </c>
      <c r="T116" s="168">
        <f>PL!W$34</f>
        <v>63525000</v>
      </c>
      <c r="U116" s="168">
        <f>PL!Y$34</f>
        <v>63525000</v>
      </c>
      <c r="V116" s="168">
        <f>PL!Z$34</f>
        <v>63525000</v>
      </c>
      <c r="W116" s="168">
        <f>PL!AA$34</f>
        <v>65175000</v>
      </c>
      <c r="X116" s="168">
        <f>PL!AB$34</f>
        <v>65175000</v>
      </c>
    </row>
    <row r="117" spans="1:24" hidden="1" outlineLevel="1">
      <c r="B117" s="71" t="s">
        <v>509</v>
      </c>
      <c r="C117" s="71">
        <f>SUM(E117:X117)</f>
        <v>0</v>
      </c>
      <c r="D117" s="71"/>
      <c r="E117" s="71">
        <f>IFERROR(E$112/E$111*#REF!,0)</f>
        <v>0</v>
      </c>
      <c r="F117" s="71">
        <f>IFERROR(F$112/F$111*#REF!,0)</f>
        <v>0</v>
      </c>
      <c r="G117" s="71">
        <f>IFERROR(G$112/G$111*#REF!,0)</f>
        <v>0</v>
      </c>
      <c r="H117" s="71">
        <f>IFERROR(H$112/H$111*#REF!,0)</f>
        <v>0</v>
      </c>
      <c r="I117" s="71">
        <f>IFERROR(I$112/I$111*#REF!,0)</f>
        <v>0</v>
      </c>
      <c r="J117" s="71">
        <f>IFERROR(J$112/J$111*#REF!,0)</f>
        <v>0</v>
      </c>
      <c r="K117" s="71">
        <f>IFERROR(K$112/K$111*#REF!,0)</f>
        <v>0</v>
      </c>
      <c r="L117" s="71">
        <f>IFERROR(L$112/L$111*#REF!,0)</f>
        <v>0</v>
      </c>
      <c r="M117" s="71">
        <f>IFERROR(M$112/M$111*#REF!,0)</f>
        <v>0</v>
      </c>
      <c r="N117" s="71">
        <f>IFERROR(N$112/N$111*#REF!,0)</f>
        <v>0</v>
      </c>
      <c r="O117" s="71">
        <f>IFERROR(O$112/O$111*#REF!,0)</f>
        <v>0</v>
      </c>
      <c r="P117" s="71">
        <f>IFERROR(P$112/P$111*#REF!,0)</f>
        <v>0</v>
      </c>
      <c r="Q117" s="71">
        <f>IFERROR(Q$112/Q$111*#REF!,0)</f>
        <v>0</v>
      </c>
      <c r="R117" s="71">
        <f>IFERROR(R$112/R$111*#REF!,0)</f>
        <v>0</v>
      </c>
      <c r="S117" s="71">
        <f>IFERROR(S$112/S$111*#REF!,0)</f>
        <v>0</v>
      </c>
      <c r="T117" s="71">
        <f>IFERROR(T$112/T$111*#REF!,0)</f>
        <v>0</v>
      </c>
      <c r="U117" s="71">
        <f>IFERROR(U$112/U$111*#REF!,0)</f>
        <v>0</v>
      </c>
      <c r="V117" s="71">
        <f>IFERROR(V$112/V$111*#REF!,0)</f>
        <v>0</v>
      </c>
      <c r="W117" s="71">
        <f>IFERROR(W$112/W$111*#REF!,0)</f>
        <v>0</v>
      </c>
      <c r="X117" s="71">
        <f>IFERROR(X$112/X$111*#REF!,0)</f>
        <v>0</v>
      </c>
    </row>
    <row r="118" spans="1:24" hidden="1" outlineLevel="1">
      <c r="B118" s="71" t="s">
        <v>285</v>
      </c>
      <c r="C118" s="71">
        <f>SUM(E118:X118)</f>
        <v>1308932.1094443654</v>
      </c>
      <c r="D118" s="71"/>
      <c r="E118" s="71">
        <f t="shared" ref="E118:X118" si="69">IFERROR(E$113/E$111*E$105,0)</f>
        <v>0</v>
      </c>
      <c r="F118" s="71">
        <f t="shared" si="69"/>
        <v>0</v>
      </c>
      <c r="G118" s="71">
        <f t="shared" si="69"/>
        <v>355408.24868545105</v>
      </c>
      <c r="H118" s="71">
        <f t="shared" si="69"/>
        <v>50772.606955064439</v>
      </c>
      <c r="I118" s="71">
        <f t="shared" si="69"/>
        <v>50772.606955064439</v>
      </c>
      <c r="J118" s="71">
        <f t="shared" si="69"/>
        <v>50772.606955064439</v>
      </c>
      <c r="K118" s="71">
        <f t="shared" si="69"/>
        <v>52202.821235488787</v>
      </c>
      <c r="L118" s="71">
        <f t="shared" si="69"/>
        <v>52202.821235488787</v>
      </c>
      <c r="M118" s="71">
        <f t="shared" si="69"/>
        <v>52202.821235488787</v>
      </c>
      <c r="N118" s="71">
        <f t="shared" si="69"/>
        <v>52202.821235488787</v>
      </c>
      <c r="O118" s="71">
        <f t="shared" si="69"/>
        <v>53633.035515913143</v>
      </c>
      <c r="P118" s="71">
        <f t="shared" si="69"/>
        <v>53633.035515913143</v>
      </c>
      <c r="Q118" s="71">
        <f t="shared" si="69"/>
        <v>53633.035515913143</v>
      </c>
      <c r="R118" s="71">
        <f t="shared" si="69"/>
        <v>53633.035515913143</v>
      </c>
      <c r="S118" s="71">
        <f t="shared" si="69"/>
        <v>55063.249796337492</v>
      </c>
      <c r="T118" s="71">
        <f t="shared" si="69"/>
        <v>55063.249796337492</v>
      </c>
      <c r="U118" s="71">
        <f t="shared" si="69"/>
        <v>66075.899755604987</v>
      </c>
      <c r="V118" s="71">
        <f t="shared" si="69"/>
        <v>66075.899755604987</v>
      </c>
      <c r="W118" s="71">
        <f t="shared" si="69"/>
        <v>67792.156892114202</v>
      </c>
      <c r="X118" s="71">
        <f t="shared" si="69"/>
        <v>67792.156892114202</v>
      </c>
    </row>
    <row r="119" spans="1:24" hidden="1" outlineLevel="1">
      <c r="B119" s="71" t="s">
        <v>264</v>
      </c>
      <c r="C119" s="71">
        <f>SUM(E119:X119)</f>
        <v>-3193055.5555555555</v>
      </c>
      <c r="D119" s="71"/>
      <c r="E119" s="71">
        <f t="shared" ref="E119:X119" si="70">IFERROR(E$114/E$111*E$106,0)</f>
        <v>0</v>
      </c>
      <c r="F119" s="71">
        <f t="shared" si="70"/>
        <v>0</v>
      </c>
      <c r="G119" s="71">
        <f t="shared" si="70"/>
        <v>-2235138.888888889</v>
      </c>
      <c r="H119" s="71">
        <f t="shared" si="70"/>
        <v>-319305.55555555556</v>
      </c>
      <c r="I119" s="71">
        <f t="shared" si="70"/>
        <v>-319305.55555555556</v>
      </c>
      <c r="J119" s="71">
        <f t="shared" si="70"/>
        <v>-319305.55555555556</v>
      </c>
      <c r="K119" s="71">
        <f t="shared" si="70"/>
        <v>0</v>
      </c>
      <c r="L119" s="71">
        <f t="shared" si="70"/>
        <v>0</v>
      </c>
      <c r="M119" s="71">
        <f t="shared" si="70"/>
        <v>0</v>
      </c>
      <c r="N119" s="71">
        <f t="shared" si="70"/>
        <v>0</v>
      </c>
      <c r="O119" s="71">
        <f t="shared" si="70"/>
        <v>0</v>
      </c>
      <c r="P119" s="71">
        <f t="shared" si="70"/>
        <v>0</v>
      </c>
      <c r="Q119" s="71">
        <f t="shared" si="70"/>
        <v>0</v>
      </c>
      <c r="R119" s="71">
        <f t="shared" si="70"/>
        <v>0</v>
      </c>
      <c r="S119" s="71">
        <f t="shared" si="70"/>
        <v>0</v>
      </c>
      <c r="T119" s="71">
        <f t="shared" si="70"/>
        <v>0</v>
      </c>
      <c r="U119" s="71">
        <f t="shared" si="70"/>
        <v>0</v>
      </c>
      <c r="V119" s="71">
        <f t="shared" si="70"/>
        <v>0</v>
      </c>
      <c r="W119" s="71">
        <f t="shared" si="70"/>
        <v>0</v>
      </c>
      <c r="X119" s="71">
        <f t="shared" si="70"/>
        <v>0</v>
      </c>
    </row>
    <row r="120" spans="1:24" hidden="1" outlineLevel="1">
      <c r="B120" s="71" t="s">
        <v>510</v>
      </c>
      <c r="C120" s="71">
        <f>SUM(E120:X120)</f>
        <v>2161222.6363873533</v>
      </c>
      <c r="D120" s="71"/>
      <c r="E120" s="71">
        <f t="shared" ref="E120:X120" si="71">IFERROR(E$115/E$111*E$107,0)</f>
        <v>269540.83333333331</v>
      </c>
      <c r="F120" s="71">
        <f t="shared" si="71"/>
        <v>276279.35416666663</v>
      </c>
      <c r="G120" s="71">
        <f t="shared" si="71"/>
        <v>358568.68177083321</v>
      </c>
      <c r="H120" s="71">
        <f t="shared" si="71"/>
        <v>57103.920208333322</v>
      </c>
      <c r="I120" s="71">
        <f t="shared" si="71"/>
        <v>58531.518213541647</v>
      </c>
      <c r="J120" s="71">
        <f t="shared" si="71"/>
        <v>59994.80616888019</v>
      </c>
      <c r="K120" s="71">
        <f t="shared" si="71"/>
        <v>61494.676323102176</v>
      </c>
      <c r="L120" s="71">
        <f t="shared" si="71"/>
        <v>63032.043231179734</v>
      </c>
      <c r="M120" s="71">
        <f t="shared" si="71"/>
        <v>64607.844311959212</v>
      </c>
      <c r="N120" s="71">
        <f t="shared" si="71"/>
        <v>66223.040419758181</v>
      </c>
      <c r="O120" s="71">
        <f t="shared" si="71"/>
        <v>67878.616430252136</v>
      </c>
      <c r="P120" s="71">
        <f t="shared" si="71"/>
        <v>69575.581841008432</v>
      </c>
      <c r="Q120" s="71">
        <f t="shared" si="71"/>
        <v>71314.971387033642</v>
      </c>
      <c r="R120" s="71">
        <f t="shared" si="71"/>
        <v>73097.845671709481</v>
      </c>
      <c r="S120" s="71">
        <f t="shared" si="71"/>
        <v>74925.291813502205</v>
      </c>
      <c r="T120" s="71">
        <f t="shared" si="71"/>
        <v>76798.424108839754</v>
      </c>
      <c r="U120" s="71">
        <f t="shared" si="71"/>
        <v>94462.061653872894</v>
      </c>
      <c r="V120" s="71">
        <f t="shared" si="71"/>
        <v>96823.613195219703</v>
      </c>
      <c r="W120" s="71">
        <f t="shared" si="71"/>
        <v>99244.20352510018</v>
      </c>
      <c r="X120" s="71">
        <f t="shared" si="71"/>
        <v>101725.30861322767</v>
      </c>
    </row>
    <row r="121" spans="1:24" hidden="1" outlineLevel="1">
      <c r="B121" s="71" t="s">
        <v>380</v>
      </c>
      <c r="C121" s="71">
        <f>SUM(E121:X121)</f>
        <v>16778666.666666668</v>
      </c>
      <c r="D121" s="71"/>
      <c r="E121" s="71">
        <f t="shared" ref="E121:X121" si="72">IFERROR(E$116/E$111*E$108,0)</f>
        <v>0</v>
      </c>
      <c r="F121" s="71">
        <f t="shared" si="72"/>
        <v>0</v>
      </c>
      <c r="G121" s="71">
        <f t="shared" si="72"/>
        <v>4555833.333333334</v>
      </c>
      <c r="H121" s="71">
        <f t="shared" si="72"/>
        <v>650833.33333333337</v>
      </c>
      <c r="I121" s="71">
        <f t="shared" si="72"/>
        <v>650833.33333333337</v>
      </c>
      <c r="J121" s="71">
        <f t="shared" si="72"/>
        <v>650833.33333333337</v>
      </c>
      <c r="K121" s="71">
        <f t="shared" si="72"/>
        <v>669166.66666666663</v>
      </c>
      <c r="L121" s="71">
        <f t="shared" si="72"/>
        <v>669166.66666666663</v>
      </c>
      <c r="M121" s="71">
        <f t="shared" si="72"/>
        <v>669166.66666666663</v>
      </c>
      <c r="N121" s="71">
        <f t="shared" si="72"/>
        <v>669166.66666666663</v>
      </c>
      <c r="O121" s="71">
        <f t="shared" si="72"/>
        <v>687500</v>
      </c>
      <c r="P121" s="71">
        <f t="shared" si="72"/>
        <v>687500</v>
      </c>
      <c r="Q121" s="71">
        <f t="shared" si="72"/>
        <v>687500</v>
      </c>
      <c r="R121" s="71">
        <f t="shared" si="72"/>
        <v>687500</v>
      </c>
      <c r="S121" s="71">
        <f t="shared" si="72"/>
        <v>705833.33333333337</v>
      </c>
      <c r="T121" s="71">
        <f t="shared" si="72"/>
        <v>705833.33333333337</v>
      </c>
      <c r="U121" s="71">
        <f t="shared" si="72"/>
        <v>847000</v>
      </c>
      <c r="V121" s="71">
        <f t="shared" si="72"/>
        <v>847000</v>
      </c>
      <c r="W121" s="71">
        <f t="shared" si="72"/>
        <v>869000</v>
      </c>
      <c r="X121" s="71">
        <f t="shared" si="72"/>
        <v>869000</v>
      </c>
    </row>
    <row r="122" spans="1:24" s="61" customFormat="1" ht="14.4" hidden="1" outlineLevel="1" thickBot="1">
      <c r="B122" s="167" t="s">
        <v>304</v>
      </c>
      <c r="C122" s="167"/>
      <c r="D122" s="167"/>
      <c r="E122" s="167">
        <f>SUM(E117:E121)</f>
        <v>269540.83333333331</v>
      </c>
      <c r="F122" s="167">
        <f t="shared" ref="F122:X122" si="73">SUM(F117:F121)</f>
        <v>276279.35416666663</v>
      </c>
      <c r="G122" s="167">
        <f t="shared" si="73"/>
        <v>3034671.3749007294</v>
      </c>
      <c r="H122" s="167">
        <f t="shared" si="73"/>
        <v>439404.30494117562</v>
      </c>
      <c r="I122" s="167">
        <f t="shared" si="73"/>
        <v>440831.90294638393</v>
      </c>
      <c r="J122" s="167">
        <f t="shared" si="73"/>
        <v>442295.19090172247</v>
      </c>
      <c r="K122" s="167">
        <f t="shared" si="73"/>
        <v>782864.16422525758</v>
      </c>
      <c r="L122" s="167">
        <f t="shared" si="73"/>
        <v>784401.53113333508</v>
      </c>
      <c r="M122" s="167">
        <f t="shared" si="73"/>
        <v>785977.33221411461</v>
      </c>
      <c r="N122" s="167">
        <f t="shared" si="73"/>
        <v>787592.52832191356</v>
      </c>
      <c r="O122" s="167">
        <f t="shared" si="73"/>
        <v>809011.65194616525</v>
      </c>
      <c r="P122" s="167">
        <f t="shared" si="73"/>
        <v>810708.61735692155</v>
      </c>
      <c r="Q122" s="167">
        <f t="shared" si="73"/>
        <v>812448.00690294674</v>
      </c>
      <c r="R122" s="167">
        <f t="shared" si="73"/>
        <v>814230.88118762267</v>
      </c>
      <c r="S122" s="167">
        <f t="shared" si="73"/>
        <v>835821.87494317302</v>
      </c>
      <c r="T122" s="167">
        <f t="shared" si="73"/>
        <v>837695.00723851065</v>
      </c>
      <c r="U122" s="167">
        <f t="shared" si="73"/>
        <v>1007537.9614094779</v>
      </c>
      <c r="V122" s="167">
        <f t="shared" si="73"/>
        <v>1009899.5129508247</v>
      </c>
      <c r="W122" s="167">
        <f t="shared" si="73"/>
        <v>1036036.3604172145</v>
      </c>
      <c r="X122" s="167">
        <f t="shared" si="73"/>
        <v>1038517.4655053419</v>
      </c>
    </row>
    <row r="123" spans="1:24" s="61" customFormat="1" ht="14.4" hidden="1" outlineLevel="1" thickTop="1"/>
    <row r="124" spans="1:24" s="61" customFormat="1" hidden="1" outlineLevel="1">
      <c r="B124" s="61" t="s">
        <v>304</v>
      </c>
      <c r="E124" s="61">
        <f>E101+E122</f>
        <v>1009385.8333333333</v>
      </c>
      <c r="F124" s="61">
        <f>F101+F122</f>
        <v>1034620.4791666666</v>
      </c>
      <c r="G124" s="61">
        <f>G101+G122</f>
        <v>136141971.02802572</v>
      </c>
      <c r="H124" s="61">
        <f t="shared" ref="H124:X124" si="74">H101+H122</f>
        <v>200421186.44790474</v>
      </c>
      <c r="I124" s="61">
        <f t="shared" si="74"/>
        <v>495275.26615068078</v>
      </c>
      <c r="J124" s="61">
        <f t="shared" si="74"/>
        <v>498099.63818612671</v>
      </c>
      <c r="K124" s="61">
        <f t="shared" si="74"/>
        <v>643063.72269177204</v>
      </c>
      <c r="L124" s="61">
        <f t="shared" si="74"/>
        <v>558475.52300595667</v>
      </c>
      <c r="M124" s="61">
        <f t="shared" si="74"/>
        <v>846072.61832799623</v>
      </c>
      <c r="N124" s="61">
        <f t="shared" si="74"/>
        <v>849190.1965886422</v>
      </c>
      <c r="O124" s="61">
        <f t="shared" si="74"/>
        <v>681038.150808451</v>
      </c>
      <c r="P124" s="61">
        <f t="shared" si="74"/>
        <v>607869.1120240977</v>
      </c>
      <c r="Q124" s="61">
        <f t="shared" si="74"/>
        <v>878781.95838124689</v>
      </c>
      <c r="R124" s="61">
        <f t="shared" si="74"/>
        <v>882223.18145288026</v>
      </c>
      <c r="S124" s="61">
        <f t="shared" si="74"/>
        <v>753291.76049283997</v>
      </c>
      <c r="T124" s="61">
        <f t="shared" si="74"/>
        <v>665573.86214914138</v>
      </c>
      <c r="U124" s="61">
        <f t="shared" si="74"/>
        <v>1095402.286282887</v>
      </c>
      <c r="V124" s="61">
        <f t="shared" si="74"/>
        <v>1099960.445946069</v>
      </c>
      <c r="W124" s="61">
        <f t="shared" si="74"/>
        <v>999015.48340400658</v>
      </c>
      <c r="X124" s="61">
        <f t="shared" si="74"/>
        <v>900337.73323347035</v>
      </c>
    </row>
    <row r="125" spans="1:24" s="61" customFormat="1" hidden="1" outlineLevel="1"/>
    <row r="126" spans="1:24" hidden="1" outlineLevel="1">
      <c r="A126" s="101" t="s">
        <v>367</v>
      </c>
      <c r="B126" s="61" t="s">
        <v>305</v>
      </c>
      <c r="E126" s="57">
        <f>E101+E122</f>
        <v>1009385.8333333333</v>
      </c>
      <c r="F126" s="57">
        <f t="shared" ref="F126:X126" si="75">F101+F122</f>
        <v>1034620.4791666666</v>
      </c>
      <c r="G126" s="57">
        <f t="shared" si="75"/>
        <v>136141971.02802572</v>
      </c>
      <c r="H126" s="57">
        <f t="shared" si="75"/>
        <v>200421186.44790474</v>
      </c>
      <c r="I126" s="57">
        <f t="shared" si="75"/>
        <v>495275.26615068078</v>
      </c>
      <c r="J126" s="57">
        <f t="shared" si="75"/>
        <v>498099.63818612671</v>
      </c>
      <c r="K126" s="57">
        <f t="shared" si="75"/>
        <v>643063.72269177204</v>
      </c>
      <c r="L126" s="57">
        <f t="shared" si="75"/>
        <v>558475.52300595667</v>
      </c>
      <c r="M126" s="57">
        <f t="shared" si="75"/>
        <v>846072.61832799623</v>
      </c>
      <c r="N126" s="57">
        <f t="shared" si="75"/>
        <v>849190.1965886422</v>
      </c>
      <c r="O126" s="57">
        <f t="shared" si="75"/>
        <v>681038.150808451</v>
      </c>
      <c r="P126" s="57">
        <f t="shared" si="75"/>
        <v>607869.1120240977</v>
      </c>
      <c r="Q126" s="57">
        <f t="shared" si="75"/>
        <v>878781.95838124689</v>
      </c>
      <c r="R126" s="57">
        <f t="shared" si="75"/>
        <v>882223.18145288026</v>
      </c>
      <c r="S126" s="57">
        <f t="shared" si="75"/>
        <v>753291.76049283997</v>
      </c>
      <c r="T126" s="57">
        <f t="shared" si="75"/>
        <v>665573.86214914138</v>
      </c>
      <c r="U126" s="57">
        <f t="shared" si="75"/>
        <v>1095402.286282887</v>
      </c>
      <c r="V126" s="57">
        <f t="shared" si="75"/>
        <v>1099960.445946069</v>
      </c>
      <c r="W126" s="57">
        <f t="shared" si="75"/>
        <v>999015.48340400658</v>
      </c>
      <c r="X126" s="57">
        <f t="shared" si="75"/>
        <v>900337.73323347035</v>
      </c>
    </row>
    <row r="127" spans="1:24" hidden="1" outlineLevel="1">
      <c r="B127" s="61" t="s">
        <v>306</v>
      </c>
    </row>
    <row r="128" spans="1:24" hidden="1" outlineLevel="1">
      <c r="B128" s="71" t="s">
        <v>343</v>
      </c>
      <c r="C128" s="71">
        <v>4497500453.507946</v>
      </c>
      <c r="D128" s="71"/>
      <c r="E128" s="71">
        <f>Ethanol!E22</f>
        <v>0</v>
      </c>
      <c r="F128" s="71">
        <f>Ethanol!F22</f>
        <v>0</v>
      </c>
      <c r="G128" s="71">
        <f>Ethanol!G22</f>
        <v>1065</v>
      </c>
      <c r="H128" s="71">
        <f>Ethanol!H22</f>
        <v>1103.7272727272721</v>
      </c>
      <c r="I128" s="71">
        <f>Ethanol!J22</f>
        <v>1105.1355371900827</v>
      </c>
      <c r="J128" s="71">
        <f>Ethanol!K22</f>
        <v>1105.186746806914</v>
      </c>
      <c r="K128" s="71">
        <f>Ethanol!L22</f>
        <v>1135.1886089747968</v>
      </c>
      <c r="L128" s="71">
        <f>Ethanol!M22</f>
        <v>1136.2795857809033</v>
      </c>
      <c r="M128" s="71">
        <f>Ethanol!O22</f>
        <v>1136.3192576647598</v>
      </c>
      <c r="N128" s="71">
        <f>Ethanol!P22</f>
        <v>1136.3207002787203</v>
      </c>
      <c r="O128" s="71">
        <f>Ethanol!Q22</f>
        <v>1166.320752737407</v>
      </c>
      <c r="P128" s="71">
        <f>Ethanol!R22</f>
        <v>1167.4116637359075</v>
      </c>
      <c r="Q128" s="71">
        <f>Ethanol!T22</f>
        <v>1167.4513332267597</v>
      </c>
      <c r="R128" s="71">
        <f>Ethanol!U22</f>
        <v>1167.4527757536998</v>
      </c>
      <c r="S128" s="71">
        <f>Ethanol!V22</f>
        <v>1197.4528282092251</v>
      </c>
      <c r="T128" s="71">
        <f>Ethanol!W22</f>
        <v>1198.5437392076092</v>
      </c>
      <c r="U128" s="71">
        <f>Ethanol!Y22</f>
        <v>1198.5834086984578</v>
      </c>
      <c r="V128" s="71">
        <f>Ethanol!Z22</f>
        <v>1198.5848512253979</v>
      </c>
      <c r="W128" s="71">
        <f>Ethanol!AA22</f>
        <v>1228.5849036809232</v>
      </c>
      <c r="X128" s="71">
        <f>Ethanol!AB22</f>
        <v>1229.6758146793072</v>
      </c>
    </row>
    <row r="129" spans="1:25" hidden="1" outlineLevel="1">
      <c r="B129" s="71" t="s">
        <v>36</v>
      </c>
      <c r="C129" s="71">
        <v>545623887.55332875</v>
      </c>
      <c r="D129" s="71"/>
      <c r="E129" s="71">
        <f>Ethanol!E41</f>
        <v>0</v>
      </c>
      <c r="F129" s="71">
        <f>Ethanol!F41</f>
        <v>0</v>
      </c>
      <c r="G129" s="71">
        <f>Ethanol!G41</f>
        <v>0</v>
      </c>
      <c r="H129" s="71">
        <f>Ethanol!H41</f>
        <v>0</v>
      </c>
      <c r="I129" s="71">
        <f>Ethanol!J41</f>
        <v>0</v>
      </c>
      <c r="J129" s="71">
        <f>Ethanol!K41</f>
        <v>0</v>
      </c>
      <c r="K129" s="71">
        <f>Ethanol!L41</f>
        <v>0</v>
      </c>
      <c r="L129" s="71">
        <f>Ethanol!M41</f>
        <v>0</v>
      </c>
      <c r="M129" s="71">
        <f>Ethanol!O41</f>
        <v>0</v>
      </c>
      <c r="N129" s="71">
        <f>Ethanol!P41</f>
        <v>0</v>
      </c>
      <c r="O129" s="71">
        <f>Ethanol!Q41</f>
        <v>0</v>
      </c>
      <c r="P129" s="71">
        <f>Ethanol!R41</f>
        <v>0</v>
      </c>
      <c r="Q129" s="71">
        <f>Ethanol!T41</f>
        <v>0</v>
      </c>
      <c r="R129" s="71">
        <f>Ethanol!U41</f>
        <v>0</v>
      </c>
      <c r="S129" s="71">
        <f>Ethanol!V41</f>
        <v>0</v>
      </c>
      <c r="T129" s="71">
        <f>Ethanol!W41</f>
        <v>0</v>
      </c>
      <c r="U129" s="71">
        <f>Ethanol!Y41</f>
        <v>0</v>
      </c>
      <c r="V129" s="71">
        <f>Ethanol!Z41</f>
        <v>0</v>
      </c>
      <c r="W129" s="71">
        <f>Ethanol!AA41</f>
        <v>0</v>
      </c>
      <c r="X129" s="71">
        <f>Ethanol!AB41</f>
        <v>0</v>
      </c>
    </row>
    <row r="130" spans="1:25" hidden="1" outlineLevel="1">
      <c r="A130" s="152"/>
      <c r="B130" s="71" t="s">
        <v>275</v>
      </c>
      <c r="C130" s="71">
        <v>507726.06955064449</v>
      </c>
      <c r="D130" s="151"/>
      <c r="E130" s="71">
        <f>Sugar!E44</f>
        <v>30178.571428571428</v>
      </c>
      <c r="F130" s="71">
        <f>Sugar!F44</f>
        <v>6035.7142857142826</v>
      </c>
      <c r="G130" s="71">
        <f>Sugar!G44</f>
        <v>15617.857142857141</v>
      </c>
      <c r="H130" s="71">
        <f>Sugar!H44</f>
        <v>36265.5</v>
      </c>
      <c r="I130" s="71">
        <f>Sugar!J44</f>
        <v>18132.75</v>
      </c>
      <c r="J130" s="71">
        <f>Sugar!K44</f>
        <v>1813.2749999999996</v>
      </c>
      <c r="K130" s="71">
        <f>Sugar!L44</f>
        <v>11525.310000000001</v>
      </c>
      <c r="L130" s="71">
        <f>Sugar!M44</f>
        <v>38424.707699999999</v>
      </c>
      <c r="M130" s="71">
        <f>Sugar!O44</f>
        <v>19212.35385</v>
      </c>
      <c r="N130" s="71">
        <f>Sugar!P44</f>
        <v>1921.235385</v>
      </c>
      <c r="O130" s="71">
        <f>Sugar!Q44</f>
        <v>13568.494154</v>
      </c>
      <c r="P130" s="71">
        <f>Sugar!R44</f>
        <v>44359.691083179998</v>
      </c>
      <c r="Q130" s="71">
        <f>Sugar!T44</f>
        <v>22179.845541589999</v>
      </c>
      <c r="R130" s="71">
        <f>Sugar!U44</f>
        <v>2217.9845541590003</v>
      </c>
      <c r="S130" s="71">
        <f>Sugar!V44</f>
        <v>14807.193821663601</v>
      </c>
      <c r="T130" s="71">
        <f>Sugar!W44</f>
        <v>53754.899860514604</v>
      </c>
      <c r="U130" s="71">
        <f>Sugar!Y44</f>
        <v>26877.449930257302</v>
      </c>
      <c r="V130" s="71">
        <f>Sugar!Z44</f>
        <v>2687.744993025728</v>
      </c>
      <c r="W130" s="71">
        <f>Sugar!AA44</f>
        <v>16275.09799721029</v>
      </c>
      <c r="X130" s="71">
        <f>Sugar!AB44</f>
        <v>64752.215658130895</v>
      </c>
    </row>
    <row r="131" spans="1:25" hidden="1" outlineLevel="1">
      <c r="B131" s="71" t="s">
        <v>307</v>
      </c>
      <c r="C131" s="71">
        <v>29201638.888888877</v>
      </c>
      <c r="D131" s="71"/>
      <c r="E131" s="71">
        <f>Sugar!E50</f>
        <v>3900</v>
      </c>
      <c r="F131" s="71">
        <f>Sugar!F50</f>
        <v>390</v>
      </c>
      <c r="G131" s="71">
        <f>Sugar!G50</f>
        <v>2346</v>
      </c>
      <c r="H131" s="71">
        <f>Sugar!H50</f>
        <v>6482.4</v>
      </c>
      <c r="I131" s="71">
        <f>Sugar!J50</f>
        <v>3241.2</v>
      </c>
      <c r="J131" s="71">
        <f>Sugar!K50</f>
        <v>324.11999999999989</v>
      </c>
      <c r="K131" s="71">
        <f>Sugar!L50</f>
        <v>2494.8239999999987</v>
      </c>
      <c r="L131" s="71">
        <f>Sugar!M50</f>
        <v>8017.9296000000013</v>
      </c>
      <c r="M131" s="71">
        <f>Sugar!O50</f>
        <v>4008.9648000000007</v>
      </c>
      <c r="N131" s="71">
        <f>Sugar!P50</f>
        <v>400.89647999999988</v>
      </c>
      <c r="O131" s="71">
        <f>Sugar!Q50</f>
        <v>2960.1792959999984</v>
      </c>
      <c r="P131" s="71">
        <f>Sugar!R50</f>
        <v>9248.0717184000005</v>
      </c>
      <c r="Q131" s="71">
        <f>Sugar!T50</f>
        <v>4624.0358592000002</v>
      </c>
      <c r="R131" s="71">
        <f>Sugar!U50</f>
        <v>462.4035859200003</v>
      </c>
      <c r="S131" s="71">
        <f>Sugar!V50</f>
        <v>3224.4807171840002</v>
      </c>
      <c r="T131" s="71">
        <f>Sugar!W50</f>
        <v>11312.1922868736</v>
      </c>
      <c r="U131" s="71">
        <f>Sugar!Y50</f>
        <v>5656.0961434368</v>
      </c>
      <c r="V131" s="71">
        <f>Sugar!Z50</f>
        <v>565.60961434367982</v>
      </c>
      <c r="W131" s="71">
        <f>Sugar!AA50</f>
        <v>3533.1219228687351</v>
      </c>
      <c r="X131" s="71">
        <f>Sugar!AB50</f>
        <v>13725.248769147493</v>
      </c>
    </row>
    <row r="132" spans="1:25" hidden="1" outlineLevel="1">
      <c r="B132" s="71" t="s">
        <v>276</v>
      </c>
      <c r="C132" s="71">
        <v>1779753.3333333328</v>
      </c>
      <c r="D132" s="71"/>
      <c r="E132" s="71">
        <f>Sugar!E57</f>
        <v>84859.794166666674</v>
      </c>
      <c r="F132" s="71">
        <f>Sugar!F57</f>
        <v>84859.794166666674</v>
      </c>
      <c r="G132" s="71">
        <f>Sugar!G57</f>
        <v>89169.794166666688</v>
      </c>
      <c r="H132" s="71">
        <f>Sugar!H57</f>
        <v>88839.794166666688</v>
      </c>
      <c r="I132" s="71">
        <f>Sugar!J57</f>
        <v>58589.794166666688</v>
      </c>
      <c r="J132" s="71">
        <f>Sugar!K57</f>
        <v>28339.794166666688</v>
      </c>
      <c r="K132" s="71">
        <f>Sugar!L57</f>
        <v>37689.794166666688</v>
      </c>
      <c r="L132" s="71">
        <f>Sugar!M57</f>
        <v>49039.794166666688</v>
      </c>
      <c r="M132" s="71">
        <f>Sugar!O57</f>
        <v>18789.794166666688</v>
      </c>
      <c r="N132" s="71">
        <f>Sugar!P57</f>
        <v>0</v>
      </c>
      <c r="O132" s="71">
        <f>Sugar!Q57</f>
        <v>19350.000000000015</v>
      </c>
      <c r="P132" s="71">
        <f>Sugar!R57</f>
        <v>40620.000000000015</v>
      </c>
      <c r="Q132" s="71">
        <f>Sugar!T57</f>
        <v>10370.000000000015</v>
      </c>
      <c r="R132" s="71">
        <f>Sugar!U57</f>
        <v>0</v>
      </c>
      <c r="S132" s="71">
        <f>Sugar!V57</f>
        <v>27190.000000000015</v>
      </c>
      <c r="T132" s="71">
        <f>Sugar!W57</f>
        <v>66572</v>
      </c>
      <c r="U132" s="71">
        <f>Sugar!Y57</f>
        <v>36322</v>
      </c>
      <c r="V132" s="71">
        <f>Sugar!Z57</f>
        <v>6072</v>
      </c>
      <c r="W132" s="71">
        <f>Sugar!AA57</f>
        <v>42222.000000000015</v>
      </c>
      <c r="X132" s="71">
        <f>Sugar!AB57</f>
        <v>104132</v>
      </c>
    </row>
    <row r="133" spans="1:25" hidden="1" outlineLevel="1">
      <c r="B133" s="71" t="s">
        <v>277</v>
      </c>
      <c r="C133" s="71"/>
      <c r="D133" s="71"/>
      <c r="E133" s="71">
        <f>Sugar!E63</f>
        <v>0</v>
      </c>
      <c r="F133" s="71">
        <f>Sugar!F63</f>
        <v>0</v>
      </c>
      <c r="G133" s="71">
        <f>Sugar!G63</f>
        <v>0</v>
      </c>
      <c r="H133" s="71">
        <f>Sugar!H63</f>
        <v>0</v>
      </c>
      <c r="I133" s="71">
        <f>Sugar!J63</f>
        <v>0</v>
      </c>
      <c r="J133" s="71">
        <f>Sugar!K63</f>
        <v>0</v>
      </c>
      <c r="K133" s="71">
        <f>Sugar!L63</f>
        <v>0</v>
      </c>
      <c r="L133" s="71">
        <f>Sugar!M63</f>
        <v>0</v>
      </c>
      <c r="M133" s="71">
        <f>Sugar!O63</f>
        <v>0</v>
      </c>
      <c r="N133" s="71">
        <f>Sugar!P63</f>
        <v>0</v>
      </c>
      <c r="O133" s="71">
        <f>Sugar!Q63</f>
        <v>0</v>
      </c>
      <c r="P133" s="71">
        <f>Sugar!R63</f>
        <v>0</v>
      </c>
      <c r="Q133" s="71">
        <f>Sugar!T63</f>
        <v>0</v>
      </c>
      <c r="R133" s="71">
        <f>Sugar!U63</f>
        <v>0</v>
      </c>
      <c r="S133" s="71">
        <f>Sugar!V63</f>
        <v>0</v>
      </c>
      <c r="T133" s="71">
        <f>Sugar!W63</f>
        <v>0</v>
      </c>
      <c r="U133" s="71">
        <f>Sugar!Y63</f>
        <v>0</v>
      </c>
      <c r="V133" s="71">
        <f>Sugar!Z63</f>
        <v>0</v>
      </c>
      <c r="W133" s="71">
        <f>Sugar!AA63</f>
        <v>0</v>
      </c>
      <c r="X133" s="71">
        <f>Sugar!AB63</f>
        <v>0</v>
      </c>
    </row>
    <row r="134" spans="1:25" ht="4.2" hidden="1" customHeight="1" outlineLevel="1"/>
    <row r="135" spans="1:25" hidden="1" outlineLevel="1">
      <c r="B135" s="71" t="s">
        <v>490</v>
      </c>
      <c r="C135" s="71"/>
      <c r="D135" s="71"/>
      <c r="E135" s="71">
        <f>Ethanol!E55*1000</f>
        <v>66210.755757654289</v>
      </c>
      <c r="F135" s="71">
        <f>Ethanol!F55*1000</f>
        <v>66210.755757654289</v>
      </c>
      <c r="G135" s="71">
        <f>Ethanol!G55*1000</f>
        <v>66210.755757654289</v>
      </c>
      <c r="H135" s="71">
        <f>Ethanol!H55*1000</f>
        <v>66210.755757654289</v>
      </c>
      <c r="I135" s="71">
        <f>Ethanol!J55*1000</f>
        <v>61484.901481847381</v>
      </c>
      <c r="J135" s="71">
        <f>Ethanol!K55*1000</f>
        <v>61484.901481847381</v>
      </c>
      <c r="K135" s="71">
        <f>Ethanol!L55*1000</f>
        <v>61484.901481847381</v>
      </c>
      <c r="L135" s="71">
        <f>Ethanol!M55*1000</f>
        <v>61484.901481847381</v>
      </c>
      <c r="M135" s="71">
        <f>Ethanol!O55*1000</f>
        <v>61743.771261070629</v>
      </c>
      <c r="N135" s="71">
        <f>Ethanol!P55*1000</f>
        <v>61743.771261070629</v>
      </c>
      <c r="O135" s="71">
        <f>Ethanol!Q55*1000</f>
        <v>61743.771261070629</v>
      </c>
      <c r="P135" s="71">
        <f>Ethanol!R55*1000</f>
        <v>61743.771261070629</v>
      </c>
      <c r="Q135" s="71">
        <f>Ethanol!T55*1000</f>
        <v>61928.550171160052</v>
      </c>
      <c r="R135" s="71">
        <f>Ethanol!U55*1000</f>
        <v>61928.550171160052</v>
      </c>
      <c r="S135" s="71">
        <f>Ethanol!V55*1000</f>
        <v>61928.550171160052</v>
      </c>
      <c r="T135" s="71">
        <f>Ethanol!W55*1000</f>
        <v>61928.550171160052</v>
      </c>
      <c r="U135" s="71">
        <f>Ethanol!Y55*1000</f>
        <v>61540.444702581459</v>
      </c>
      <c r="V135" s="71">
        <f>Ethanol!Z55*1000</f>
        <v>61540.444702581459</v>
      </c>
      <c r="W135" s="71">
        <f>Ethanol!AA55*1000</f>
        <v>61540.444702581459</v>
      </c>
      <c r="X135" s="71">
        <f>Ethanol!AB55*1000</f>
        <v>61540.444702581459</v>
      </c>
    </row>
    <row r="136" spans="1:25" hidden="1" outlineLevel="1">
      <c r="B136" s="71" t="s">
        <v>491</v>
      </c>
      <c r="C136" s="71"/>
      <c r="D136" s="71"/>
      <c r="E136" s="71">
        <f>Ethanol!$C$34*1000</f>
        <v>14500</v>
      </c>
      <c r="F136" s="71">
        <f>E136</f>
        <v>14500</v>
      </c>
      <c r="G136" s="71">
        <f>F136</f>
        <v>14500</v>
      </c>
      <c r="H136" s="71">
        <f>G136</f>
        <v>14500</v>
      </c>
      <c r="I136" s="71">
        <f t="shared" ref="I136:X136" si="76">H136</f>
        <v>14500</v>
      </c>
      <c r="J136" s="71">
        <f t="shared" si="76"/>
        <v>14500</v>
      </c>
      <c r="K136" s="71">
        <f t="shared" si="76"/>
        <v>14500</v>
      </c>
      <c r="L136" s="71">
        <f t="shared" si="76"/>
        <v>14500</v>
      </c>
      <c r="M136" s="71">
        <f t="shared" si="76"/>
        <v>14500</v>
      </c>
      <c r="N136" s="71">
        <f t="shared" si="76"/>
        <v>14500</v>
      </c>
      <c r="O136" s="71">
        <f t="shared" si="76"/>
        <v>14500</v>
      </c>
      <c r="P136" s="71">
        <f t="shared" si="76"/>
        <v>14500</v>
      </c>
      <c r="Q136" s="71">
        <f t="shared" si="76"/>
        <v>14500</v>
      </c>
      <c r="R136" s="71">
        <f t="shared" si="76"/>
        <v>14500</v>
      </c>
      <c r="S136" s="71">
        <f t="shared" si="76"/>
        <v>14500</v>
      </c>
      <c r="T136" s="71">
        <f t="shared" si="76"/>
        <v>14500</v>
      </c>
      <c r="U136" s="71">
        <f t="shared" si="76"/>
        <v>14500</v>
      </c>
      <c r="V136" s="71">
        <f t="shared" si="76"/>
        <v>14500</v>
      </c>
      <c r="W136" s="71">
        <f t="shared" si="76"/>
        <v>14500</v>
      </c>
      <c r="X136" s="71">
        <f t="shared" si="76"/>
        <v>14500</v>
      </c>
    </row>
    <row r="137" spans="1:25" hidden="1" outlineLevel="1">
      <c r="B137" s="71" t="s">
        <v>492</v>
      </c>
      <c r="C137" s="71"/>
      <c r="D137" s="71"/>
      <c r="E137" s="71">
        <v>33500</v>
      </c>
      <c r="F137" s="71">
        <v>38000</v>
      </c>
      <c r="G137" s="71">
        <f>Sugar!G84*1000</f>
        <v>32051.365165914136</v>
      </c>
      <c r="H137" s="71">
        <f>G137</f>
        <v>32051.365165914136</v>
      </c>
      <c r="I137" s="71">
        <f>H137</f>
        <v>32051.365165914136</v>
      </c>
      <c r="J137" s="71">
        <f>I137</f>
        <v>32051.365165914136</v>
      </c>
      <c r="K137" s="71">
        <f>Sugar!L84*1000</f>
        <v>28957.183968067355</v>
      </c>
      <c r="L137" s="71">
        <f>K137</f>
        <v>28957.183968067355</v>
      </c>
      <c r="M137" s="71">
        <f>L137</f>
        <v>28957.183968067355</v>
      </c>
      <c r="N137" s="71">
        <f>M137</f>
        <v>28957.183968067355</v>
      </c>
      <c r="O137" s="71">
        <f>Sugar!Q84*1000</f>
        <v>29085.765540074513</v>
      </c>
      <c r="P137" s="71">
        <f>O137</f>
        <v>29085.765540074513</v>
      </c>
      <c r="Q137" s="71">
        <f>P137</f>
        <v>29085.765540074513</v>
      </c>
      <c r="R137" s="71">
        <f>Q137</f>
        <v>29085.765540074513</v>
      </c>
      <c r="S137" s="71">
        <f>Sugar!V84*1000</f>
        <v>29239.458043618768</v>
      </c>
      <c r="T137" s="71">
        <f>S137</f>
        <v>29239.458043618768</v>
      </c>
      <c r="U137" s="71">
        <f>T137</f>
        <v>29239.458043618768</v>
      </c>
      <c r="V137" s="71">
        <f>U137</f>
        <v>29239.458043618768</v>
      </c>
      <c r="W137" s="71">
        <f>Sugar!AA84*1000</f>
        <v>29035.43422018897</v>
      </c>
      <c r="X137" s="71">
        <f>W137</f>
        <v>29035.43422018897</v>
      </c>
    </row>
    <row r="138" spans="1:25" ht="6" hidden="1" customHeight="1" outlineLevel="1"/>
    <row r="139" spans="1:25" hidden="1" outlineLevel="1">
      <c r="B139" s="61" t="s">
        <v>308</v>
      </c>
    </row>
    <row r="140" spans="1:25" hidden="1" outlineLevel="1">
      <c r="A140" s="74"/>
      <c r="B140" s="71" t="str">
        <f t="shared" ref="B140:B145" si="77">B128</f>
        <v>Ethanol Plant</v>
      </c>
      <c r="C140" s="71"/>
      <c r="D140" s="71"/>
      <c r="E140" s="71">
        <f t="shared" ref="E140:H142" si="78">E135*E128</f>
        <v>0</v>
      </c>
      <c r="F140" s="71">
        <f t="shared" si="78"/>
        <v>0</v>
      </c>
      <c r="G140" s="71">
        <f t="shared" si="78"/>
        <v>70514454.881901816</v>
      </c>
      <c r="H140" s="71">
        <f t="shared" si="78"/>
        <v>73078616.877607301</v>
      </c>
      <c r="I140" s="71">
        <f t="shared" ref="I140:P140" si="79">I135*I128</f>
        <v>67949149.628220722</v>
      </c>
      <c r="J140" s="71">
        <f t="shared" si="79"/>
        <v>67952298.246466517</v>
      </c>
      <c r="K140" s="71">
        <f t="shared" si="79"/>
        <v>69796959.786130756</v>
      </c>
      <c r="L140" s="71">
        <f t="shared" si="79"/>
        <v>69864038.387573183</v>
      </c>
      <c r="M140" s="71">
        <f t="shared" si="79"/>
        <v>70160636.324802503</v>
      </c>
      <c r="N140" s="71">
        <f t="shared" si="79"/>
        <v>70160725.397228912</v>
      </c>
      <c r="O140" s="71">
        <f t="shared" si="79"/>
        <v>72013041.774058178</v>
      </c>
      <c r="P140" s="71">
        <f t="shared" si="79"/>
        <v>72080398.733215779</v>
      </c>
      <c r="Q140" s="71">
        <f t="shared" ref="Q140:T142" si="80">Q135*Q128</f>
        <v>72298568.462121084</v>
      </c>
      <c r="R140" s="71">
        <f t="shared" si="80"/>
        <v>72298657.795723066</v>
      </c>
      <c r="S140" s="71">
        <f t="shared" si="80"/>
        <v>74156517.549352497</v>
      </c>
      <c r="T140" s="71">
        <f t="shared" si="80"/>
        <v>74224076.085848197</v>
      </c>
      <c r="U140" s="71">
        <f t="shared" ref="U140:X142" si="81">U135*U128</f>
        <v>73761355.98443903</v>
      </c>
      <c r="V140" s="71">
        <f t="shared" si="81"/>
        <v>73761444.758188426</v>
      </c>
      <c r="W140" s="71">
        <f t="shared" si="81"/>
        <v>75607661.327402219</v>
      </c>
      <c r="X140" s="71">
        <f t="shared" si="81"/>
        <v>75674796.475373715</v>
      </c>
      <c r="Y140" s="61"/>
    </row>
    <row r="141" spans="1:25" hidden="1" outlineLevel="1">
      <c r="A141" s="74"/>
      <c r="B141" s="71" t="str">
        <f t="shared" si="77"/>
        <v>DDGS</v>
      </c>
      <c r="C141" s="71"/>
      <c r="D141" s="71"/>
      <c r="E141" s="71">
        <f t="shared" si="78"/>
        <v>0</v>
      </c>
      <c r="F141" s="71">
        <f t="shared" si="78"/>
        <v>0</v>
      </c>
      <c r="G141" s="71">
        <f t="shared" si="78"/>
        <v>0</v>
      </c>
      <c r="H141" s="71">
        <f t="shared" si="78"/>
        <v>0</v>
      </c>
      <c r="I141" s="71">
        <f t="shared" ref="I141:P141" si="82">I136*I129</f>
        <v>0</v>
      </c>
      <c r="J141" s="71">
        <f t="shared" si="82"/>
        <v>0</v>
      </c>
      <c r="K141" s="71">
        <f t="shared" si="82"/>
        <v>0</v>
      </c>
      <c r="L141" s="71">
        <f t="shared" si="82"/>
        <v>0</v>
      </c>
      <c r="M141" s="71">
        <f t="shared" si="82"/>
        <v>0</v>
      </c>
      <c r="N141" s="71">
        <f t="shared" si="82"/>
        <v>0</v>
      </c>
      <c r="O141" s="71">
        <f t="shared" si="82"/>
        <v>0</v>
      </c>
      <c r="P141" s="71">
        <f t="shared" si="82"/>
        <v>0</v>
      </c>
      <c r="Q141" s="71">
        <f t="shared" si="80"/>
        <v>0</v>
      </c>
      <c r="R141" s="71">
        <f t="shared" si="80"/>
        <v>0</v>
      </c>
      <c r="S141" s="71">
        <f t="shared" si="80"/>
        <v>0</v>
      </c>
      <c r="T141" s="71">
        <f t="shared" si="80"/>
        <v>0</v>
      </c>
      <c r="U141" s="71">
        <f t="shared" si="81"/>
        <v>0</v>
      </c>
      <c r="V141" s="71">
        <f t="shared" si="81"/>
        <v>0</v>
      </c>
      <c r="W141" s="71">
        <f t="shared" si="81"/>
        <v>0</v>
      </c>
      <c r="X141" s="71">
        <f t="shared" si="81"/>
        <v>0</v>
      </c>
      <c r="Y141" s="61"/>
    </row>
    <row r="142" spans="1:25" hidden="1" outlineLevel="1">
      <c r="A142" s="74">
        <f>39000*80%</f>
        <v>31200</v>
      </c>
      <c r="B142" s="71" t="str">
        <f t="shared" si="77"/>
        <v>Suger</v>
      </c>
      <c r="C142" s="71"/>
      <c r="D142" s="153">
        <f>C11</f>
        <v>1605431752.5999999</v>
      </c>
      <c r="E142" s="71">
        <f t="shared" si="78"/>
        <v>1010982142.8571428</v>
      </c>
      <c r="F142" s="71">
        <f t="shared" si="78"/>
        <v>229357142.85714275</v>
      </c>
      <c r="G142" s="71">
        <f t="shared" si="78"/>
        <v>500573642.39479464</v>
      </c>
      <c r="H142" s="71">
        <f t="shared" si="78"/>
        <v>1162358783.424459</v>
      </c>
      <c r="I142" s="71">
        <f t="shared" ref="I142:P142" si="83">I137*I130</f>
        <v>581179391.71222949</v>
      </c>
      <c r="J142" s="71">
        <f t="shared" si="83"/>
        <v>58117939.17122294</v>
      </c>
      <c r="K142" s="71">
        <f t="shared" si="83"/>
        <v>333740521.95900643</v>
      </c>
      <c r="L142" s="71">
        <f t="shared" si="83"/>
        <v>1112671329.7881143</v>
      </c>
      <c r="M142" s="71">
        <f t="shared" si="83"/>
        <v>556335664.89405715</v>
      </c>
      <c r="N142" s="71">
        <f t="shared" si="83"/>
        <v>55633566.489405714</v>
      </c>
      <c r="O142" s="71">
        <f t="shared" si="83"/>
        <v>394650039.69511569</v>
      </c>
      <c r="P142" s="71">
        <f t="shared" si="83"/>
        <v>1290235574.2755075</v>
      </c>
      <c r="Q142" s="71">
        <f t="shared" si="80"/>
        <v>645117787.13775373</v>
      </c>
      <c r="R142" s="71">
        <f t="shared" si="80"/>
        <v>64511778.713775381</v>
      </c>
      <c r="S142" s="71">
        <f t="shared" si="80"/>
        <v>432954322.49226391</v>
      </c>
      <c r="T142" s="71">
        <f t="shared" si="80"/>
        <v>1571764139.110445</v>
      </c>
      <c r="U142" s="71">
        <f t="shared" si="81"/>
        <v>785882069.55522251</v>
      </c>
      <c r="V142" s="71">
        <f t="shared" si="81"/>
        <v>78588206.955522195</v>
      </c>
      <c r="W142" s="71">
        <f t="shared" si="81"/>
        <v>472554537.32512861</v>
      </c>
      <c r="X142" s="71">
        <f t="shared" si="81"/>
        <v>1880108698.3531499</v>
      </c>
      <c r="Y142" s="61"/>
    </row>
    <row r="143" spans="1:25" hidden="1" outlineLevel="1">
      <c r="A143" s="57">
        <v>0</v>
      </c>
      <c r="B143" s="71" t="str">
        <f t="shared" si="77"/>
        <v>molasses</v>
      </c>
      <c r="C143" s="71"/>
      <c r="D143" s="71"/>
      <c r="E143" s="71">
        <f t="shared" ref="E143:H145" si="84">E131*$A143</f>
        <v>0</v>
      </c>
      <c r="F143" s="71">
        <f t="shared" si="84"/>
        <v>0</v>
      </c>
      <c r="G143" s="71">
        <f t="shared" si="84"/>
        <v>0</v>
      </c>
      <c r="H143" s="71">
        <f t="shared" si="84"/>
        <v>0</v>
      </c>
      <c r="I143" s="71">
        <f t="shared" ref="I143:L145" si="85">I131*$A143</f>
        <v>0</v>
      </c>
      <c r="J143" s="71">
        <f t="shared" si="85"/>
        <v>0</v>
      </c>
      <c r="K143" s="71">
        <f t="shared" si="85"/>
        <v>0</v>
      </c>
      <c r="L143" s="71">
        <f t="shared" si="85"/>
        <v>0</v>
      </c>
      <c r="M143" s="71">
        <f t="shared" ref="M143:P145" si="86">M131*$A143</f>
        <v>0</v>
      </c>
      <c r="N143" s="71">
        <f t="shared" si="86"/>
        <v>0</v>
      </c>
      <c r="O143" s="71">
        <f t="shared" si="86"/>
        <v>0</v>
      </c>
      <c r="P143" s="71">
        <f t="shared" si="86"/>
        <v>0</v>
      </c>
      <c r="Q143" s="71">
        <f t="shared" ref="Q143:T145" si="87">Q131*$A143</f>
        <v>0</v>
      </c>
      <c r="R143" s="71">
        <f t="shared" si="87"/>
        <v>0</v>
      </c>
      <c r="S143" s="71">
        <f t="shared" si="87"/>
        <v>0</v>
      </c>
      <c r="T143" s="71">
        <f t="shared" si="87"/>
        <v>0</v>
      </c>
      <c r="U143" s="71">
        <f t="shared" ref="U143:X145" si="88">U131*$A143</f>
        <v>0</v>
      </c>
      <c r="V143" s="71">
        <f t="shared" si="88"/>
        <v>0</v>
      </c>
      <c r="W143" s="71">
        <f t="shared" si="88"/>
        <v>0</v>
      </c>
      <c r="X143" s="71">
        <f t="shared" si="88"/>
        <v>0</v>
      </c>
      <c r="Y143" s="61"/>
    </row>
    <row r="144" spans="1:25" hidden="1" outlineLevel="1">
      <c r="A144" s="57">
        <v>0</v>
      </c>
      <c r="B144" s="71" t="str">
        <f t="shared" si="77"/>
        <v>Bagasse</v>
      </c>
      <c r="C144" s="71"/>
      <c r="D144" s="71"/>
      <c r="E144" s="71">
        <f t="shared" si="84"/>
        <v>0</v>
      </c>
      <c r="F144" s="71">
        <f t="shared" si="84"/>
        <v>0</v>
      </c>
      <c r="G144" s="71">
        <f t="shared" si="84"/>
        <v>0</v>
      </c>
      <c r="H144" s="71">
        <f t="shared" si="84"/>
        <v>0</v>
      </c>
      <c r="I144" s="71">
        <f t="shared" si="85"/>
        <v>0</v>
      </c>
      <c r="J144" s="71">
        <f t="shared" si="85"/>
        <v>0</v>
      </c>
      <c r="K144" s="71">
        <f t="shared" si="85"/>
        <v>0</v>
      </c>
      <c r="L144" s="71">
        <f t="shared" si="85"/>
        <v>0</v>
      </c>
      <c r="M144" s="71">
        <f t="shared" si="86"/>
        <v>0</v>
      </c>
      <c r="N144" s="71">
        <f t="shared" si="86"/>
        <v>0</v>
      </c>
      <c r="O144" s="71">
        <f t="shared" si="86"/>
        <v>0</v>
      </c>
      <c r="P144" s="71">
        <f t="shared" si="86"/>
        <v>0</v>
      </c>
      <c r="Q144" s="71">
        <f t="shared" si="87"/>
        <v>0</v>
      </c>
      <c r="R144" s="71">
        <f t="shared" si="87"/>
        <v>0</v>
      </c>
      <c r="S144" s="71">
        <f t="shared" si="87"/>
        <v>0</v>
      </c>
      <c r="T144" s="71">
        <f t="shared" si="87"/>
        <v>0</v>
      </c>
      <c r="U144" s="71">
        <f t="shared" si="88"/>
        <v>0</v>
      </c>
      <c r="V144" s="71">
        <f t="shared" si="88"/>
        <v>0</v>
      </c>
      <c r="W144" s="71">
        <f t="shared" si="88"/>
        <v>0</v>
      </c>
      <c r="X144" s="71">
        <f t="shared" si="88"/>
        <v>0</v>
      </c>
    </row>
    <row r="145" spans="1:24" hidden="1" outlineLevel="1">
      <c r="A145" s="57">
        <v>0</v>
      </c>
      <c r="B145" s="71" t="str">
        <f t="shared" si="77"/>
        <v>Press Mud</v>
      </c>
      <c r="C145" s="71"/>
      <c r="D145" s="71"/>
      <c r="E145" s="71">
        <f t="shared" si="84"/>
        <v>0</v>
      </c>
      <c r="F145" s="71">
        <f t="shared" si="84"/>
        <v>0</v>
      </c>
      <c r="G145" s="71">
        <f t="shared" si="84"/>
        <v>0</v>
      </c>
      <c r="H145" s="71">
        <f t="shared" si="84"/>
        <v>0</v>
      </c>
      <c r="I145" s="71">
        <f t="shared" si="85"/>
        <v>0</v>
      </c>
      <c r="J145" s="71">
        <f t="shared" si="85"/>
        <v>0</v>
      </c>
      <c r="K145" s="71">
        <f t="shared" si="85"/>
        <v>0</v>
      </c>
      <c r="L145" s="71">
        <f t="shared" si="85"/>
        <v>0</v>
      </c>
      <c r="M145" s="71">
        <f t="shared" si="86"/>
        <v>0</v>
      </c>
      <c r="N145" s="71">
        <f t="shared" si="86"/>
        <v>0</v>
      </c>
      <c r="O145" s="71">
        <f t="shared" si="86"/>
        <v>0</v>
      </c>
      <c r="P145" s="71">
        <f t="shared" si="86"/>
        <v>0</v>
      </c>
      <c r="Q145" s="71">
        <f t="shared" si="87"/>
        <v>0</v>
      </c>
      <c r="R145" s="71">
        <f t="shared" si="87"/>
        <v>0</v>
      </c>
      <c r="S145" s="71">
        <f t="shared" si="87"/>
        <v>0</v>
      </c>
      <c r="T145" s="71">
        <f t="shared" si="87"/>
        <v>0</v>
      </c>
      <c r="U145" s="71">
        <f t="shared" si="88"/>
        <v>0</v>
      </c>
      <c r="V145" s="71">
        <f t="shared" si="88"/>
        <v>0</v>
      </c>
      <c r="W145" s="71">
        <f t="shared" si="88"/>
        <v>0</v>
      </c>
      <c r="X145" s="71">
        <f t="shared" si="88"/>
        <v>0</v>
      </c>
    </row>
    <row r="146" spans="1:24" s="61" customFormat="1" ht="14.4" hidden="1" outlineLevel="1" thickBot="1">
      <c r="B146" s="167" t="s">
        <v>373</v>
      </c>
      <c r="C146" s="167"/>
      <c r="D146" s="167"/>
      <c r="E146" s="167">
        <f>SUM(E140:E145)</f>
        <v>1010982142.8571428</v>
      </c>
      <c r="F146" s="167">
        <f t="shared" ref="F146:X146" si="89">SUM(F140:F145)</f>
        <v>229357142.85714275</v>
      </c>
      <c r="G146" s="167">
        <f t="shared" si="89"/>
        <v>571088097.27669644</v>
      </c>
      <c r="H146" s="167">
        <f t="shared" si="89"/>
        <v>1235437400.3020663</v>
      </c>
      <c r="I146" s="167">
        <f t="shared" si="89"/>
        <v>649128541.34045017</v>
      </c>
      <c r="J146" s="167">
        <f t="shared" si="89"/>
        <v>126070237.41768946</v>
      </c>
      <c r="K146" s="167">
        <f t="shared" si="89"/>
        <v>403537481.74513721</v>
      </c>
      <c r="L146" s="167">
        <f t="shared" si="89"/>
        <v>1182535368.1756876</v>
      </c>
      <c r="M146" s="167">
        <f>SUM(M140:M145)</f>
        <v>626496301.21885967</v>
      </c>
      <c r="N146" s="167">
        <f t="shared" si="89"/>
        <v>125794291.88663462</v>
      </c>
      <c r="O146" s="167">
        <f t="shared" si="89"/>
        <v>466663081.46917385</v>
      </c>
      <c r="P146" s="167">
        <f>SUM(P140:P145)</f>
        <v>1362315973.0087233</v>
      </c>
      <c r="Q146" s="167">
        <f t="shared" si="89"/>
        <v>717416355.59987485</v>
      </c>
      <c r="R146" s="167">
        <f t="shared" si="89"/>
        <v>136810436.50949845</v>
      </c>
      <c r="S146" s="167">
        <f t="shared" si="89"/>
        <v>507110840.04161644</v>
      </c>
      <c r="T146" s="167">
        <f t="shared" si="89"/>
        <v>1645988215.1962931</v>
      </c>
      <c r="U146" s="167">
        <f t="shared" si="89"/>
        <v>859643425.53966153</v>
      </c>
      <c r="V146" s="167">
        <f t="shared" si="89"/>
        <v>152349651.71371061</v>
      </c>
      <c r="W146" s="167">
        <f t="shared" si="89"/>
        <v>548162198.65253079</v>
      </c>
      <c r="X146" s="167">
        <f t="shared" si="89"/>
        <v>1955783494.8285236</v>
      </c>
    </row>
    <row r="147" spans="1:24" collapsed="1"/>
    <row r="150" spans="1:24" s="61" customFormat="1" hidden="1" outlineLevel="1">
      <c r="B150" s="61" t="s">
        <v>162</v>
      </c>
      <c r="E150" s="61">
        <f>SUM(E149:E149)</f>
        <v>0</v>
      </c>
      <c r="F150" s="61">
        <f>SUM(F149:F149)</f>
        <v>0</v>
      </c>
      <c r="G150" s="61">
        <f>SUM(G149:G149)</f>
        <v>0</v>
      </c>
      <c r="H150" s="61">
        <f t="shared" ref="H150:X150" si="90">SUM(H149:H149)</f>
        <v>0</v>
      </c>
      <c r="I150" s="61">
        <f t="shared" si="90"/>
        <v>0</v>
      </c>
      <c r="J150" s="61">
        <f t="shared" si="90"/>
        <v>0</v>
      </c>
      <c r="K150" s="61">
        <f t="shared" si="90"/>
        <v>0</v>
      </c>
      <c r="L150" s="61">
        <f t="shared" si="90"/>
        <v>0</v>
      </c>
      <c r="M150" s="61">
        <f t="shared" si="90"/>
        <v>0</v>
      </c>
      <c r="N150" s="61">
        <f t="shared" si="90"/>
        <v>0</v>
      </c>
      <c r="O150" s="61">
        <f t="shared" si="90"/>
        <v>0</v>
      </c>
      <c r="P150" s="61">
        <f t="shared" si="90"/>
        <v>0</v>
      </c>
      <c r="Q150" s="61">
        <f t="shared" si="90"/>
        <v>0</v>
      </c>
      <c r="R150" s="61">
        <f t="shared" si="90"/>
        <v>0</v>
      </c>
      <c r="S150" s="61">
        <f t="shared" si="90"/>
        <v>0</v>
      </c>
      <c r="T150" s="61">
        <f t="shared" si="90"/>
        <v>0</v>
      </c>
      <c r="U150" s="61">
        <f t="shared" si="90"/>
        <v>0</v>
      </c>
      <c r="V150" s="61">
        <f t="shared" si="90"/>
        <v>0</v>
      </c>
      <c r="W150" s="61">
        <f t="shared" si="90"/>
        <v>0</v>
      </c>
      <c r="X150" s="61">
        <f t="shared" si="90"/>
        <v>0</v>
      </c>
    </row>
    <row r="151" spans="1:24" hidden="1" outlineLevel="1">
      <c r="B151" s="70" t="s">
        <v>360</v>
      </c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 spans="1:24" hidden="1" outlineLevel="1">
      <c r="B152" s="71" t="s">
        <v>288</v>
      </c>
      <c r="C152" s="71">
        <f>(3300+3900)/2</f>
        <v>3600</v>
      </c>
      <c r="D152" s="71"/>
      <c r="E152" s="71">
        <f>Sugar!E37*$C152</f>
        <v>0</v>
      </c>
      <c r="F152" s="71">
        <f>Sugar!F37*$C152</f>
        <v>0</v>
      </c>
      <c r="G152" s="71">
        <f>Sugar!G37*$C152</f>
        <v>0</v>
      </c>
      <c r="H152" s="71">
        <f>Sugar!H37*$C152</f>
        <v>0</v>
      </c>
      <c r="I152" s="71">
        <f>Sugar!J37*$C152</f>
        <v>0</v>
      </c>
      <c r="J152" s="71">
        <f>Sugar!K37*$C152</f>
        <v>0</v>
      </c>
      <c r="K152" s="71">
        <f>Sugar!L37*$C152</f>
        <v>1404000000</v>
      </c>
      <c r="L152" s="71">
        <f>Sugar!M37*$C152</f>
        <v>0</v>
      </c>
      <c r="M152" s="71">
        <f>Sugar!O37*$C152</f>
        <v>0</v>
      </c>
      <c r="N152" s="71">
        <f>Sugar!P37*$C152</f>
        <v>0</v>
      </c>
      <c r="O152" s="71">
        <f>Sugar!Q37*$C152</f>
        <v>1612800000</v>
      </c>
      <c r="P152" s="71">
        <f>Sugar!R37*$C152</f>
        <v>0</v>
      </c>
      <c r="Q152" s="71">
        <f>Sugar!T37*$C152</f>
        <v>0</v>
      </c>
      <c r="R152" s="71">
        <f>Sugar!U37*$C152</f>
        <v>0</v>
      </c>
      <c r="S152" s="71">
        <f>Sugar!V37*$C152</f>
        <v>2004480000</v>
      </c>
      <c r="T152" s="71">
        <f>Sugar!W37*$C152</f>
        <v>0</v>
      </c>
      <c r="U152" s="71">
        <f>Sugar!Y37*$C152</f>
        <v>0</v>
      </c>
      <c r="V152" s="71">
        <f>Sugar!Z37*$C152</f>
        <v>0</v>
      </c>
      <c r="W152" s="71">
        <f>Sugar!AA37*$C152</f>
        <v>2462400000</v>
      </c>
      <c r="X152" s="71">
        <f>Sugar!AB37*$C152</f>
        <v>0</v>
      </c>
    </row>
    <row r="153" spans="1:24" hidden="1" outlineLevel="1">
      <c r="B153" s="71" t="s">
        <v>343</v>
      </c>
      <c r="C153" s="71">
        <f>Ethanol!C47</f>
        <v>20000</v>
      </c>
      <c r="D153" s="71"/>
      <c r="E153" s="71">
        <f>$C153*Ethanol!E29</f>
        <v>0</v>
      </c>
      <c r="F153" s="71">
        <f>$C153*Ethanol!F29</f>
        <v>0</v>
      </c>
      <c r="G153" s="71">
        <f>$C153*Ethanol!G29</f>
        <v>0</v>
      </c>
      <c r="H153" s="71">
        <f>$C153*Ethanol!H29</f>
        <v>0</v>
      </c>
      <c r="I153" s="71">
        <f>$C153*Ethanol!J29</f>
        <v>0</v>
      </c>
      <c r="J153" s="71">
        <f>$C153*Ethanol!K29</f>
        <v>0</v>
      </c>
      <c r="K153" s="71">
        <f>$C153*Ethanol!L29*0.9</f>
        <v>5074114224.08951</v>
      </c>
      <c r="L153" s="71">
        <f>$C153*Ethanol!M29*0.9</f>
        <v>3382742816.0596738</v>
      </c>
      <c r="M153" s="71">
        <f>$C153*Ethanol!O29*0.9</f>
        <v>1691371408.0298371</v>
      </c>
      <c r="N153" s="71">
        <f>$C153*Ethanol!P29*0.9</f>
        <v>0</v>
      </c>
      <c r="O153" s="71">
        <f>$C153*Ethanol!Q29*0.9</f>
        <v>5213131052.1467571</v>
      </c>
      <c r="P153" s="71">
        <f>$C153*Ethanol!R29*0.9</f>
        <v>3475420701.4311714</v>
      </c>
      <c r="Q153" s="71">
        <f>$C153*Ethanol!T29*0.9</f>
        <v>1737710350.7155855</v>
      </c>
      <c r="R153" s="71">
        <f>$C153*Ethanol!U29*0.9</f>
        <v>0</v>
      </c>
      <c r="S153" s="71">
        <f>$C153*Ethanol!V29*0.92</f>
        <v>5471084499.7640924</v>
      </c>
      <c r="T153" s="71">
        <f>$C153*Ethanol!W29*0.92</f>
        <v>3647389666.5093946</v>
      </c>
      <c r="U153" s="71">
        <f>$C153*Ethanol!Y29*0.92</f>
        <v>1823694833.2546971</v>
      </c>
      <c r="V153" s="71">
        <f>$C153*Ethanol!Z29*0.92</f>
        <v>0</v>
      </c>
      <c r="W153" s="71">
        <f>$C153*Ethanol!AA29*0.92</f>
        <v>5613190590.6670561</v>
      </c>
      <c r="X153" s="71">
        <f>$C153*Ethanol!AB29*0.92</f>
        <v>3742127060.4447041</v>
      </c>
    </row>
    <row r="154" spans="1:24" hidden="1" outlineLevel="1">
      <c r="B154" s="71" t="s">
        <v>361</v>
      </c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 spans="1:24" s="61" customFormat="1" hidden="1" outlineLevel="1">
      <c r="B155" s="70" t="s">
        <v>162</v>
      </c>
      <c r="C155" s="70"/>
      <c r="D155" s="70"/>
      <c r="E155" s="70">
        <f>SUM(E152:E154)</f>
        <v>0</v>
      </c>
      <c r="F155" s="70">
        <f t="shared" ref="F155:X155" si="91">SUM(F152:F154)</f>
        <v>0</v>
      </c>
      <c r="G155" s="70">
        <f t="shared" si="91"/>
        <v>0</v>
      </c>
      <c r="H155" s="70">
        <f t="shared" si="91"/>
        <v>0</v>
      </c>
      <c r="I155" s="70">
        <f t="shared" si="91"/>
        <v>0</v>
      </c>
      <c r="J155" s="70">
        <f t="shared" si="91"/>
        <v>0</v>
      </c>
      <c r="K155" s="70">
        <f t="shared" si="91"/>
        <v>6478114224.08951</v>
      </c>
      <c r="L155" s="70">
        <f t="shared" si="91"/>
        <v>3382742816.0596738</v>
      </c>
      <c r="M155" s="70">
        <f t="shared" si="91"/>
        <v>1691371408.0298371</v>
      </c>
      <c r="N155" s="70">
        <f t="shared" si="91"/>
        <v>0</v>
      </c>
      <c r="O155" s="70">
        <f t="shared" si="91"/>
        <v>6825931052.1467571</v>
      </c>
      <c r="P155" s="70">
        <f t="shared" si="91"/>
        <v>3475420701.4311714</v>
      </c>
      <c r="Q155" s="70">
        <f t="shared" si="91"/>
        <v>1737710350.7155855</v>
      </c>
      <c r="R155" s="70">
        <f t="shared" si="91"/>
        <v>0</v>
      </c>
      <c r="S155" s="70">
        <f>SUM(S152:S154)</f>
        <v>7475564499.7640924</v>
      </c>
      <c r="T155" s="70">
        <f t="shared" si="91"/>
        <v>3647389666.5093946</v>
      </c>
      <c r="U155" s="70">
        <f t="shared" si="91"/>
        <v>1823694833.2546971</v>
      </c>
      <c r="V155" s="70">
        <f t="shared" si="91"/>
        <v>0</v>
      </c>
      <c r="W155" s="70">
        <f t="shared" si="91"/>
        <v>8075590590.6670561</v>
      </c>
      <c r="X155" s="70">
        <f t="shared" si="91"/>
        <v>3742127060.4447041</v>
      </c>
    </row>
    <row r="156" spans="1:24" ht="3.45" hidden="1" customHeight="1" outlineLevel="1"/>
    <row r="157" spans="1:24" ht="3.45" hidden="1" customHeight="1" outlineLevel="1"/>
    <row r="158" spans="1:24" hidden="1" outlineLevel="1">
      <c r="B158" s="61" t="s">
        <v>339</v>
      </c>
    </row>
    <row r="159" spans="1:24" hidden="1" outlineLevel="1">
      <c r="B159" s="61" t="s">
        <v>288</v>
      </c>
    </row>
    <row r="160" spans="1:24" hidden="1" outlineLevel="1">
      <c r="B160" s="71" t="s">
        <v>340</v>
      </c>
      <c r="C160" s="160">
        <v>-763057224.53798997</v>
      </c>
      <c r="D160" s="71"/>
      <c r="E160" s="71">
        <f>C163</f>
        <v>1208061592.9400001</v>
      </c>
      <c r="F160" s="71">
        <f>E163</f>
        <v>1162759283.2047501</v>
      </c>
      <c r="G160" s="71">
        <f t="shared" ref="G160:X160" si="92">F163</f>
        <v>1119155810.0845718</v>
      </c>
      <c r="H160" s="71">
        <f t="shared" si="92"/>
        <v>1077187467.2064004</v>
      </c>
      <c r="I160" s="71">
        <f>H163</f>
        <v>1036792937.1861603</v>
      </c>
      <c r="J160" s="71">
        <f t="shared" si="92"/>
        <v>997913202.04167926</v>
      </c>
      <c r="K160" s="71">
        <f t="shared" si="92"/>
        <v>960491456.96511626</v>
      </c>
      <c r="L160" s="71">
        <f>K163</f>
        <v>924473027.32892442</v>
      </c>
      <c r="M160" s="71">
        <f>L163</f>
        <v>889805288.80408978</v>
      </c>
      <c r="N160" s="71">
        <f t="shared" si="92"/>
        <v>856437590.47393644</v>
      </c>
      <c r="O160" s="71">
        <f t="shared" si="92"/>
        <v>824321180.83116388</v>
      </c>
      <c r="P160" s="71">
        <f t="shared" si="92"/>
        <v>793409136.54999518</v>
      </c>
      <c r="Q160" s="71">
        <f>P163</f>
        <v>763656293.9293704</v>
      </c>
      <c r="R160" s="71">
        <f t="shared" si="92"/>
        <v>735019182.90701902</v>
      </c>
      <c r="S160" s="71">
        <f t="shared" si="92"/>
        <v>707455963.54800582</v>
      </c>
      <c r="T160" s="71">
        <f t="shared" si="92"/>
        <v>680926364.91495562</v>
      </c>
      <c r="U160" s="71">
        <f>T163</f>
        <v>655391626.23064482</v>
      </c>
      <c r="V160" s="71">
        <f t="shared" si="92"/>
        <v>630814440.24699569</v>
      </c>
      <c r="W160" s="71">
        <f t="shared" si="92"/>
        <v>607158898.73773336</v>
      </c>
      <c r="X160" s="71">
        <f t="shared" si="92"/>
        <v>584390440.03506839</v>
      </c>
    </row>
    <row r="161" spans="2:24" hidden="1" outlineLevel="1">
      <c r="B161" s="71" t="s">
        <v>341</v>
      </c>
      <c r="C161" s="71">
        <f>SUM(E162:X162)</f>
        <v>-645585794.40624666</v>
      </c>
      <c r="D161" s="71"/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/>
      <c r="L161" s="71">
        <v>0</v>
      </c>
      <c r="M161" s="71">
        <v>0</v>
      </c>
      <c r="N161" s="71">
        <v>0</v>
      </c>
      <c r="O161" s="71">
        <v>0</v>
      </c>
      <c r="P161" s="71">
        <v>0</v>
      </c>
      <c r="Q161" s="71">
        <v>0</v>
      </c>
      <c r="R161" s="71">
        <v>0</v>
      </c>
      <c r="S161" s="71">
        <v>0</v>
      </c>
      <c r="T161" s="71">
        <v>0</v>
      </c>
      <c r="U161" s="71">
        <v>0</v>
      </c>
      <c r="V161" s="71">
        <v>0</v>
      </c>
      <c r="W161" s="71">
        <v>0</v>
      </c>
      <c r="X161" s="71">
        <v>0</v>
      </c>
    </row>
    <row r="162" spans="2:24" hidden="1" outlineLevel="1">
      <c r="B162" s="71" t="s">
        <v>102</v>
      </c>
      <c r="C162" s="98">
        <v>0.15</v>
      </c>
      <c r="D162" s="98"/>
      <c r="E162" s="71">
        <f t="shared" ref="E162:X162" si="93">-SUM(E160:E161)*$C$162/4</f>
        <v>-45302309.735250004</v>
      </c>
      <c r="F162" s="71">
        <f t="shared" si="93"/>
        <v>-43603473.120178126</v>
      </c>
      <c r="G162" s="71">
        <f t="shared" si="93"/>
        <v>-41968342.878171444</v>
      </c>
      <c r="H162" s="71">
        <f>-SUM(H160:H161)*$C$162/4</f>
        <v>-40394530.020240016</v>
      </c>
      <c r="I162" s="71">
        <f t="shared" si="93"/>
        <v>-38879735.144481011</v>
      </c>
      <c r="J162" s="71">
        <f t="shared" si="93"/>
        <v>-37421745.076562971</v>
      </c>
      <c r="K162" s="71">
        <f t="shared" si="93"/>
        <v>-36018429.63619186</v>
      </c>
      <c r="L162" s="71">
        <f t="shared" si="93"/>
        <v>-34667738.524834663</v>
      </c>
      <c r="M162" s="71">
        <f t="shared" si="93"/>
        <v>-33367698.330153365</v>
      </c>
      <c r="N162" s="71">
        <f t="shared" si="93"/>
        <v>-32116409.642772615</v>
      </c>
      <c r="O162" s="71">
        <f t="shared" si="93"/>
        <v>-30912044.281168643</v>
      </c>
      <c r="P162" s="71">
        <f t="shared" si="93"/>
        <v>-29752842.620624818</v>
      </c>
      <c r="Q162" s="71">
        <f t="shared" si="93"/>
        <v>-28637111.022351388</v>
      </c>
      <c r="R162" s="71">
        <f t="shared" si="93"/>
        <v>-27563219.359013211</v>
      </c>
      <c r="S162" s="71">
        <f t="shared" si="93"/>
        <v>-26529598.633050218</v>
      </c>
      <c r="T162" s="71">
        <f t="shared" si="93"/>
        <v>-25534738.684310835</v>
      </c>
      <c r="U162" s="71">
        <f t="shared" si="93"/>
        <v>-24577185.983649179</v>
      </c>
      <c r="V162" s="71">
        <f t="shared" si="93"/>
        <v>-23655541.509262338</v>
      </c>
      <c r="W162" s="71">
        <f t="shared" si="93"/>
        <v>-22768458.702665001</v>
      </c>
      <c r="X162" s="71">
        <f t="shared" si="93"/>
        <v>-21914641.501315065</v>
      </c>
    </row>
    <row r="163" spans="2:24" hidden="1" outlineLevel="1">
      <c r="B163" s="71" t="s">
        <v>342</v>
      </c>
      <c r="C163" s="71">
        <f>C17</f>
        <v>1208061592.9400001</v>
      </c>
      <c r="D163" s="71"/>
      <c r="E163" s="71">
        <f>SUM(E160:E162)</f>
        <v>1162759283.2047501</v>
      </c>
      <c r="F163" s="71">
        <f>SUM(F160:F162)</f>
        <v>1119155810.0845718</v>
      </c>
      <c r="G163" s="71">
        <f>SUM(G160:G162)</f>
        <v>1077187467.2064004</v>
      </c>
      <c r="H163" s="71">
        <f t="shared" ref="H163:X163" si="94">SUM(H160:H162)</f>
        <v>1036792937.1861603</v>
      </c>
      <c r="I163" s="71">
        <f t="shared" si="94"/>
        <v>997913202.04167926</v>
      </c>
      <c r="J163" s="71">
        <f t="shared" si="94"/>
        <v>960491456.96511626</v>
      </c>
      <c r="K163" s="71">
        <f>SUM(K160:K162)</f>
        <v>924473027.32892442</v>
      </c>
      <c r="L163" s="71">
        <f t="shared" si="94"/>
        <v>889805288.80408978</v>
      </c>
      <c r="M163" s="71">
        <f t="shared" si="94"/>
        <v>856437590.47393644</v>
      </c>
      <c r="N163" s="71">
        <f t="shared" si="94"/>
        <v>824321180.83116388</v>
      </c>
      <c r="O163" s="71">
        <f t="shared" si="94"/>
        <v>793409136.54999518</v>
      </c>
      <c r="P163" s="71">
        <f t="shared" si="94"/>
        <v>763656293.9293704</v>
      </c>
      <c r="Q163" s="71">
        <f t="shared" si="94"/>
        <v>735019182.90701902</v>
      </c>
      <c r="R163" s="71">
        <f t="shared" si="94"/>
        <v>707455963.54800582</v>
      </c>
      <c r="S163" s="71">
        <f t="shared" si="94"/>
        <v>680926364.91495562</v>
      </c>
      <c r="T163" s="71">
        <f t="shared" si="94"/>
        <v>655391626.23064482</v>
      </c>
      <c r="U163" s="71">
        <f t="shared" si="94"/>
        <v>630814440.24699569</v>
      </c>
      <c r="V163" s="71">
        <f t="shared" si="94"/>
        <v>607158898.73773336</v>
      </c>
      <c r="W163" s="71">
        <f t="shared" si="94"/>
        <v>584390440.03506839</v>
      </c>
      <c r="X163" s="71">
        <f t="shared" si="94"/>
        <v>562475798.53375328</v>
      </c>
    </row>
    <row r="164" spans="2:24" ht="3.45" hidden="1" customHeight="1" outlineLevel="1"/>
    <row r="165" spans="2:24" hidden="1" outlineLevel="1">
      <c r="B165" s="61" t="s">
        <v>343</v>
      </c>
    </row>
    <row r="166" spans="2:24" hidden="1" outlineLevel="1">
      <c r="B166" s="71" t="str">
        <f>B160</f>
        <v>Opening Balance</v>
      </c>
      <c r="C166" s="160">
        <v>-1108464324.50618</v>
      </c>
      <c r="D166" s="71"/>
      <c r="E166" s="71">
        <f>C169</f>
        <v>1728542449.9400001</v>
      </c>
      <c r="F166" s="71">
        <f>E169</f>
        <v>1728542449.9400001</v>
      </c>
      <c r="G166" s="71">
        <f>F169</f>
        <v>1978542449.9400001</v>
      </c>
      <c r="H166" s="71">
        <f>G169</f>
        <v>1904347108.06725</v>
      </c>
      <c r="I166" s="71">
        <f>H169</f>
        <v>1832934091.5147281</v>
      </c>
      <c r="J166" s="71">
        <f t="shared" ref="J166:X166" si="95">I169</f>
        <v>1764199063.0829258</v>
      </c>
      <c r="K166" s="71">
        <f t="shared" si="95"/>
        <v>1698041598.2173162</v>
      </c>
      <c r="L166" s="71">
        <f t="shared" si="95"/>
        <v>1634365038.2841668</v>
      </c>
      <c r="M166" s="71">
        <f>L169</f>
        <v>1573076349.3485105</v>
      </c>
      <c r="N166" s="71">
        <f t="shared" si="95"/>
        <v>1514085986.2479413</v>
      </c>
      <c r="O166" s="71">
        <f t="shared" si="95"/>
        <v>1457307761.7636435</v>
      </c>
      <c r="P166" s="71">
        <f t="shared" si="95"/>
        <v>1402658720.6975069</v>
      </c>
      <c r="Q166" s="71">
        <f>P169</f>
        <v>1350059018.6713505</v>
      </c>
      <c r="R166" s="71">
        <f t="shared" si="95"/>
        <v>1299431805.4711747</v>
      </c>
      <c r="S166" s="71">
        <f t="shared" si="95"/>
        <v>1250703112.7660058</v>
      </c>
      <c r="T166" s="71">
        <f t="shared" si="95"/>
        <v>1203801746.0372806</v>
      </c>
      <c r="U166" s="71">
        <f>T169</f>
        <v>1158659180.5608826</v>
      </c>
      <c r="V166" s="71">
        <f t="shared" si="95"/>
        <v>1115209461.2898495</v>
      </c>
      <c r="W166" s="71">
        <f t="shared" si="95"/>
        <v>1073389106.4914801</v>
      </c>
      <c r="X166" s="71">
        <f t="shared" si="95"/>
        <v>1033137014.9980496</v>
      </c>
    </row>
    <row r="167" spans="2:24" hidden="1" outlineLevel="1">
      <c r="B167" s="71" t="str">
        <f>B161</f>
        <v>Additions</v>
      </c>
      <c r="C167" s="71">
        <f>SUM(E168:X168)</f>
        <v>-984148073.00437725</v>
      </c>
      <c r="D167" s="71"/>
      <c r="E167" s="71"/>
      <c r="F167" s="71">
        <v>250000000</v>
      </c>
      <c r="G167" s="71">
        <v>0</v>
      </c>
      <c r="H167" s="71">
        <v>0</v>
      </c>
      <c r="I167" s="71">
        <v>0</v>
      </c>
      <c r="J167" s="71">
        <v>0</v>
      </c>
      <c r="K167" s="71">
        <v>0</v>
      </c>
      <c r="L167" s="71">
        <v>0</v>
      </c>
      <c r="M167" s="71">
        <v>0</v>
      </c>
      <c r="N167" s="71">
        <v>0</v>
      </c>
      <c r="O167" s="71">
        <v>0</v>
      </c>
      <c r="P167" s="71">
        <v>0</v>
      </c>
      <c r="Q167" s="71">
        <v>0</v>
      </c>
      <c r="R167" s="71">
        <v>0</v>
      </c>
      <c r="S167" s="71">
        <v>0</v>
      </c>
      <c r="T167" s="71">
        <v>0</v>
      </c>
      <c r="U167" s="71">
        <v>0</v>
      </c>
      <c r="V167" s="71">
        <v>0</v>
      </c>
      <c r="W167" s="71">
        <v>0</v>
      </c>
      <c r="X167" s="71">
        <v>0</v>
      </c>
    </row>
    <row r="168" spans="2:24" hidden="1" outlineLevel="1">
      <c r="B168" s="71" t="str">
        <f>B162</f>
        <v>Depreciation</v>
      </c>
      <c r="C168" s="98">
        <v>0.15</v>
      </c>
      <c r="D168" s="98"/>
      <c r="E168" s="71"/>
      <c r="F168" s="71"/>
      <c r="G168" s="71">
        <f t="shared" ref="G168:X168" si="96">-SUM(G166:G167)*$C$168/4</f>
        <v>-74195341.872749999</v>
      </c>
      <c r="H168" s="71">
        <f>-SUM(H166:H167)*$C$168/4</f>
        <v>-71413016.55252187</v>
      </c>
      <c r="I168" s="71">
        <f t="shared" si="96"/>
        <v>-68735028.431802303</v>
      </c>
      <c r="J168" s="71">
        <f t="shared" si="96"/>
        <v>-66157464.865609713</v>
      </c>
      <c r="K168" s="71">
        <f t="shared" si="96"/>
        <v>-63676559.933149353</v>
      </c>
      <c r="L168" s="71">
        <f t="shared" si="96"/>
        <v>-61288688.93565625</v>
      </c>
      <c r="M168" s="71">
        <f t="shared" si="96"/>
        <v>-58990363.100569144</v>
      </c>
      <c r="N168" s="71">
        <f t="shared" si="96"/>
        <v>-56778224.484297797</v>
      </c>
      <c r="O168" s="71">
        <f t="shared" si="96"/>
        <v>-54649041.066136628</v>
      </c>
      <c r="P168" s="71">
        <f t="shared" si="96"/>
        <v>-52599702.026156507</v>
      </c>
      <c r="Q168" s="71">
        <f t="shared" si="96"/>
        <v>-50627213.200175643</v>
      </c>
      <c r="R168" s="71">
        <f t="shared" si="96"/>
        <v>-48728692.705169052</v>
      </c>
      <c r="S168" s="71">
        <f t="shared" si="96"/>
        <v>-46901366.728725217</v>
      </c>
      <c r="T168" s="71">
        <f t="shared" si="96"/>
        <v>-45142565.476398021</v>
      </c>
      <c r="U168" s="71">
        <f t="shared" si="96"/>
        <v>-43449719.271033093</v>
      </c>
      <c r="V168" s="71">
        <f t="shared" si="96"/>
        <v>-41820354.798369355</v>
      </c>
      <c r="W168" s="71">
        <f t="shared" si="96"/>
        <v>-40252091.493430503</v>
      </c>
      <c r="X168" s="71">
        <f t="shared" si="96"/>
        <v>-38742638.062426858</v>
      </c>
    </row>
    <row r="169" spans="2:24" hidden="1" outlineLevel="1">
      <c r="B169" s="71" t="str">
        <f>B163</f>
        <v>Closing Balance</v>
      </c>
      <c r="C169" s="71">
        <f>C16</f>
        <v>1728542449.9400001</v>
      </c>
      <c r="D169" s="71"/>
      <c r="E169" s="71">
        <f>SUM(E166:E168)</f>
        <v>1728542449.9400001</v>
      </c>
      <c r="F169" s="71">
        <f t="shared" ref="F169:X169" si="97">SUM(F166:F168)</f>
        <v>1978542449.9400001</v>
      </c>
      <c r="G169" s="71">
        <f t="shared" si="97"/>
        <v>1904347108.06725</v>
      </c>
      <c r="H169" s="71">
        <f>SUM(H166:H168)</f>
        <v>1832934091.5147281</v>
      </c>
      <c r="I169" s="71">
        <f t="shared" si="97"/>
        <v>1764199063.0829258</v>
      </c>
      <c r="J169" s="71">
        <f t="shared" si="97"/>
        <v>1698041598.2173162</v>
      </c>
      <c r="K169" s="71">
        <f t="shared" si="97"/>
        <v>1634365038.2841668</v>
      </c>
      <c r="L169" s="71">
        <f t="shared" si="97"/>
        <v>1573076349.3485105</v>
      </c>
      <c r="M169" s="71">
        <f t="shared" si="97"/>
        <v>1514085986.2479413</v>
      </c>
      <c r="N169" s="71">
        <f t="shared" si="97"/>
        <v>1457307761.7636435</v>
      </c>
      <c r="O169" s="71">
        <f t="shared" si="97"/>
        <v>1402658720.6975069</v>
      </c>
      <c r="P169" s="71">
        <f t="shared" si="97"/>
        <v>1350059018.6713505</v>
      </c>
      <c r="Q169" s="71">
        <f t="shared" si="97"/>
        <v>1299431805.4711747</v>
      </c>
      <c r="R169" s="71">
        <f t="shared" si="97"/>
        <v>1250703112.7660058</v>
      </c>
      <c r="S169" s="71">
        <f t="shared" si="97"/>
        <v>1203801746.0372806</v>
      </c>
      <c r="T169" s="71">
        <f t="shared" si="97"/>
        <v>1158659180.5608826</v>
      </c>
      <c r="U169" s="71">
        <f t="shared" si="97"/>
        <v>1115209461.2898495</v>
      </c>
      <c r="V169" s="71">
        <f t="shared" si="97"/>
        <v>1073389106.4914801</v>
      </c>
      <c r="W169" s="71">
        <f t="shared" si="97"/>
        <v>1033137014.9980496</v>
      </c>
      <c r="X169" s="71">
        <f t="shared" si="97"/>
        <v>994394376.93562281</v>
      </c>
    </row>
    <row r="170" spans="2:24" ht="4.2" hidden="1" customHeight="1" outlineLevel="1"/>
    <row r="171" spans="2:24" ht="4.2" hidden="1" customHeight="1" outlineLevel="1"/>
    <row r="172" spans="2:24" ht="4.2" hidden="1" customHeight="1" outlineLevel="1"/>
    <row r="173" spans="2:24" hidden="1" outlineLevel="1">
      <c r="B173" s="61" t="s">
        <v>346</v>
      </c>
    </row>
    <row r="174" spans="2:24" hidden="1" outlineLevel="1">
      <c r="B174" s="71" t="str">
        <f>B160</f>
        <v>Opening Balance</v>
      </c>
      <c r="C174" s="71"/>
      <c r="D174" s="71"/>
      <c r="E174" s="71">
        <f>E181+E189+E197+E205</f>
        <v>3108049428.6900001</v>
      </c>
      <c r="F174" s="71">
        <f t="shared" ref="F174:X174" si="98">F181+F189+F197+F205</f>
        <v>3097674737.1968412</v>
      </c>
      <c r="G174" s="71">
        <f t="shared" si="98"/>
        <v>3023805192.1450863</v>
      </c>
      <c r="H174" s="71">
        <f t="shared" si="98"/>
        <v>2948559391.7521667</v>
      </c>
      <c r="I174" s="71">
        <f t="shared" si="98"/>
        <v>2871910657.4142442</v>
      </c>
      <c r="J174" s="71">
        <f t="shared" si="98"/>
        <v>2793831774.5660133</v>
      </c>
      <c r="K174" s="71">
        <f t="shared" si="98"/>
        <v>2714294981.5861769</v>
      </c>
      <c r="L174" s="71">
        <f t="shared" si="98"/>
        <v>1427204752.8536782</v>
      </c>
      <c r="M174" s="71">
        <f t="shared" si="98"/>
        <v>1385535901.1464834</v>
      </c>
      <c r="N174" s="71">
        <f t="shared" si="98"/>
        <v>1343242016.6636806</v>
      </c>
      <c r="O174" s="71">
        <f t="shared" si="98"/>
        <v>1300313723.9136357</v>
      </c>
      <c r="P174" s="71">
        <f t="shared" si="98"/>
        <v>1256741506.7723403</v>
      </c>
      <c r="Q174" s="71">
        <f t="shared" si="98"/>
        <v>1212515706.3739254</v>
      </c>
      <c r="R174" s="71">
        <f t="shared" si="98"/>
        <v>1167626518.9695344</v>
      </c>
      <c r="S174" s="71">
        <f t="shared" si="98"/>
        <v>1122063993.7540774</v>
      </c>
      <c r="T174" s="71">
        <f t="shared" si="98"/>
        <v>1075818030.6603887</v>
      </c>
      <c r="U174" s="71">
        <f t="shared" si="98"/>
        <v>1028878378.1202946</v>
      </c>
      <c r="V174" s="71">
        <f t="shared" si="98"/>
        <v>981234630.792099</v>
      </c>
      <c r="W174" s="71">
        <f t="shared" si="98"/>
        <v>932876227.25398052</v>
      </c>
      <c r="X174" s="71">
        <f t="shared" si="98"/>
        <v>883792447.66279018</v>
      </c>
    </row>
    <row r="175" spans="2:24" hidden="1" outlineLevel="1">
      <c r="B175" s="71" t="s">
        <v>344</v>
      </c>
      <c r="C175" s="98">
        <v>0.1</v>
      </c>
      <c r="D175" s="71"/>
      <c r="E175" s="71">
        <f>E182+E190+E198+E206</f>
        <v>93282407.088550001</v>
      </c>
      <c r="F175" s="71">
        <f t="shared" ref="F175:X175" si="99">F182+F190+F198+F206</f>
        <v>98489476.529953927</v>
      </c>
      <c r="G175" s="71">
        <f t="shared" si="99"/>
        <v>95443825.996652558</v>
      </c>
      <c r="H175" s="71">
        <f t="shared" si="99"/>
        <v>92434099.179217637</v>
      </c>
      <c r="I175" s="71">
        <f t="shared" si="99"/>
        <v>89457412.529193893</v>
      </c>
      <c r="J175" s="71">
        <f t="shared" si="99"/>
        <v>86510959.438111961</v>
      </c>
      <c r="K175" s="71">
        <f t="shared" si="99"/>
        <v>83592006.701036453</v>
      </c>
      <c r="L175" s="71">
        <f t="shared" si="99"/>
        <v>21408071.292805173</v>
      </c>
      <c r="M175" s="71">
        <f t="shared" si="99"/>
        <v>20783038.517197251</v>
      </c>
      <c r="N175" s="71">
        <f t="shared" si="99"/>
        <v>20148630.249955207</v>
      </c>
      <c r="O175" s="71">
        <f t="shared" si="99"/>
        <v>19504705.858704533</v>
      </c>
      <c r="P175" s="71">
        <f t="shared" si="99"/>
        <v>18851122.601585105</v>
      </c>
      <c r="Q175" s="71">
        <f t="shared" si="99"/>
        <v>18187735.595608883</v>
      </c>
      <c r="R175" s="71">
        <f t="shared" si="99"/>
        <v>17514397.784543015</v>
      </c>
      <c r="S175" s="71">
        <f t="shared" si="99"/>
        <v>16830959.906311162</v>
      </c>
      <c r="T175" s="71">
        <f t="shared" si="99"/>
        <v>16137270.459905829</v>
      </c>
      <c r="U175" s="71">
        <f t="shared" si="99"/>
        <v>15433175.671804419</v>
      </c>
      <c r="V175" s="71">
        <f t="shared" si="99"/>
        <v>14718519.461881485</v>
      </c>
      <c r="W175" s="71">
        <f t="shared" si="99"/>
        <v>13993143.408809707</v>
      </c>
      <c r="X175" s="71">
        <f t="shared" si="99"/>
        <v>13256886.714941852</v>
      </c>
    </row>
    <row r="176" spans="2:24" hidden="1" outlineLevel="1">
      <c r="B176" s="71" t="s">
        <v>348</v>
      </c>
      <c r="C176" s="71"/>
      <c r="D176" s="71"/>
      <c r="E176" s="71">
        <f>E183+E191+E199+E207</f>
        <v>103657098.58170882</v>
      </c>
      <c r="F176" s="71">
        <f t="shared" ref="F176:X176" si="100">F183+F191+F199+F207</f>
        <v>172359021.58170882</v>
      </c>
      <c r="G176" s="71">
        <f t="shared" si="100"/>
        <v>170689626.38957196</v>
      </c>
      <c r="H176" s="71">
        <f t="shared" si="100"/>
        <v>169082833.51714021</v>
      </c>
      <c r="I176" s="71">
        <f t="shared" si="100"/>
        <v>167536295.37742466</v>
      </c>
      <c r="J176" s="71">
        <f t="shared" si="100"/>
        <v>166047752.41794845</v>
      </c>
      <c r="K176" s="71">
        <f t="shared" si="100"/>
        <v>1370682235.4335349</v>
      </c>
      <c r="L176" s="71">
        <f t="shared" si="100"/>
        <v>63076923</v>
      </c>
      <c r="M176" s="71">
        <f t="shared" si="100"/>
        <v>63076923</v>
      </c>
      <c r="N176" s="71">
        <f t="shared" si="100"/>
        <v>63076923</v>
      </c>
      <c r="O176" s="71">
        <f t="shared" si="100"/>
        <v>63076923</v>
      </c>
      <c r="P176" s="71">
        <f t="shared" si="100"/>
        <v>63076923</v>
      </c>
      <c r="Q176" s="71">
        <f t="shared" si="100"/>
        <v>63076923</v>
      </c>
      <c r="R176" s="71">
        <f t="shared" si="100"/>
        <v>63076923</v>
      </c>
      <c r="S176" s="71">
        <f t="shared" si="100"/>
        <v>63076923</v>
      </c>
      <c r="T176" s="71">
        <f t="shared" si="100"/>
        <v>63076923</v>
      </c>
      <c r="U176" s="71">
        <f t="shared" si="100"/>
        <v>63076923</v>
      </c>
      <c r="V176" s="71">
        <f t="shared" si="100"/>
        <v>63076923</v>
      </c>
      <c r="W176" s="71">
        <f t="shared" si="100"/>
        <v>63076923</v>
      </c>
      <c r="X176" s="71">
        <f t="shared" si="100"/>
        <v>63076923</v>
      </c>
    </row>
    <row r="177" spans="2:24" hidden="1" outlineLevel="1">
      <c r="B177" s="71" t="s">
        <v>345</v>
      </c>
      <c r="C177" s="71">
        <f>C31+C25</f>
        <v>3108049428.6900001</v>
      </c>
      <c r="D177" s="71"/>
      <c r="E177" s="71">
        <f>E184+E192+E200+E208</f>
        <v>3097674737.1968412</v>
      </c>
      <c r="F177" s="71">
        <f>F184+F192+F200+F208</f>
        <v>3023805192.1450863</v>
      </c>
      <c r="G177" s="71">
        <f>G184+G192+G200+G208</f>
        <v>2948559391.7521667</v>
      </c>
      <c r="H177" s="71">
        <f t="shared" ref="H177:X177" si="101">H184+H192+H200+H208</f>
        <v>2871910657.4142442</v>
      </c>
      <c r="I177" s="71">
        <f t="shared" si="101"/>
        <v>2793831774.5660133</v>
      </c>
      <c r="J177" s="71">
        <f t="shared" si="101"/>
        <v>2714294981.5861769</v>
      </c>
      <c r="K177" s="71">
        <f t="shared" si="101"/>
        <v>1427204752.8536782</v>
      </c>
      <c r="L177" s="71">
        <f t="shared" si="101"/>
        <v>1385535901.1464834</v>
      </c>
      <c r="M177" s="71">
        <f t="shared" si="101"/>
        <v>1343242016.6636806</v>
      </c>
      <c r="N177" s="71">
        <f t="shared" si="101"/>
        <v>1300313723.9136357</v>
      </c>
      <c r="O177" s="71">
        <f t="shared" si="101"/>
        <v>1256741506.7723403</v>
      </c>
      <c r="P177" s="71">
        <f t="shared" si="101"/>
        <v>1212515706.3739254</v>
      </c>
      <c r="Q177" s="71">
        <f t="shared" si="101"/>
        <v>1167626518.9695344</v>
      </c>
      <c r="R177" s="71">
        <f t="shared" si="101"/>
        <v>1122063993.7540774</v>
      </c>
      <c r="S177" s="71">
        <f t="shared" si="101"/>
        <v>1075818030.6603887</v>
      </c>
      <c r="T177" s="71">
        <f t="shared" si="101"/>
        <v>1028878378.1202946</v>
      </c>
      <c r="U177" s="71">
        <f t="shared" si="101"/>
        <v>981234630.792099</v>
      </c>
      <c r="V177" s="71">
        <f t="shared" si="101"/>
        <v>932876227.25398052</v>
      </c>
      <c r="W177" s="71">
        <f t="shared" si="101"/>
        <v>883792447.66279018</v>
      </c>
      <c r="X177" s="71">
        <f t="shared" si="101"/>
        <v>833972411.37773204</v>
      </c>
    </row>
    <row r="178" spans="2:24" hidden="1" outlineLevel="1">
      <c r="B178" s="57" t="s">
        <v>347</v>
      </c>
    </row>
    <row r="179" spans="2:24" hidden="1" outlineLevel="1"/>
    <row r="180" spans="2:24" hidden="1" outlineLevel="1">
      <c r="B180" s="61" t="s">
        <v>383</v>
      </c>
    </row>
    <row r="181" spans="2:24" hidden="1" outlineLevel="1">
      <c r="B181" s="71" t="str">
        <f>B167</f>
        <v>Additions</v>
      </c>
      <c r="E181" s="57">
        <v>250000000</v>
      </c>
      <c r="F181" s="57">
        <f>E184</f>
        <v>250000000</v>
      </c>
      <c r="G181" s="57">
        <f t="shared" ref="G181:X181" si="102">F184</f>
        <v>250000000</v>
      </c>
      <c r="H181" s="57">
        <f t="shared" si="102"/>
        <v>250000000</v>
      </c>
      <c r="I181" s="57">
        <f>H184</f>
        <v>250000000</v>
      </c>
      <c r="J181" s="57">
        <f t="shared" si="102"/>
        <v>250000000</v>
      </c>
      <c r="K181" s="57">
        <f t="shared" si="102"/>
        <v>249999999.99999997</v>
      </c>
      <c r="L181" s="57">
        <f t="shared" si="102"/>
        <v>0</v>
      </c>
      <c r="M181" s="57">
        <f>L184</f>
        <v>0</v>
      </c>
      <c r="N181" s="57">
        <f t="shared" si="102"/>
        <v>0</v>
      </c>
      <c r="O181" s="57">
        <f t="shared" si="102"/>
        <v>0</v>
      </c>
      <c r="P181" s="57">
        <f t="shared" si="102"/>
        <v>0</v>
      </c>
      <c r="Q181" s="57">
        <f>P184</f>
        <v>0</v>
      </c>
      <c r="R181" s="57">
        <f t="shared" si="102"/>
        <v>0</v>
      </c>
      <c r="S181" s="57">
        <f t="shared" si="102"/>
        <v>0</v>
      </c>
      <c r="T181" s="57">
        <f t="shared" si="102"/>
        <v>0</v>
      </c>
      <c r="U181" s="57">
        <f>T184</f>
        <v>0</v>
      </c>
      <c r="V181" s="57">
        <f t="shared" si="102"/>
        <v>0</v>
      </c>
      <c r="W181" s="57">
        <f t="shared" si="102"/>
        <v>0</v>
      </c>
      <c r="X181" s="57">
        <f t="shared" si="102"/>
        <v>0</v>
      </c>
    </row>
    <row r="182" spans="2:24" hidden="1" outlineLevel="1">
      <c r="B182" s="71" t="s">
        <v>344</v>
      </c>
      <c r="C182" s="60">
        <v>0.09</v>
      </c>
      <c r="E182" s="57">
        <f t="shared" ref="E182:K182" si="103">E16*($C182/4)</f>
        <v>38892205.123649999</v>
      </c>
      <c r="F182" s="57">
        <f t="shared" si="103"/>
        <v>44517205.123649999</v>
      </c>
      <c r="G182" s="57">
        <f t="shared" si="103"/>
        <v>42847809.931513123</v>
      </c>
      <c r="H182" s="57">
        <f t="shared" si="103"/>
        <v>41241017.059081383</v>
      </c>
      <c r="I182" s="57">
        <f t="shared" si="103"/>
        <v>39694478.919365831</v>
      </c>
      <c r="J182" s="57">
        <f t="shared" si="103"/>
        <v>38205935.959889613</v>
      </c>
      <c r="K182" s="57">
        <f t="shared" si="103"/>
        <v>36773213.36139375</v>
      </c>
    </row>
    <row r="183" spans="2:24" hidden="1" outlineLevel="1">
      <c r="B183" s="71" t="s">
        <v>348</v>
      </c>
      <c r="E183" s="57">
        <f t="shared" ref="E183:J183" si="104">E182</f>
        <v>38892205.123649999</v>
      </c>
      <c r="F183" s="57">
        <f t="shared" si="104"/>
        <v>44517205.123649999</v>
      </c>
      <c r="G183" s="57">
        <f t="shared" si="104"/>
        <v>42847809.931513123</v>
      </c>
      <c r="H183" s="57">
        <f t="shared" si="104"/>
        <v>41241017.059081383</v>
      </c>
      <c r="I183" s="57">
        <f t="shared" si="104"/>
        <v>39694478.919365831</v>
      </c>
      <c r="J183" s="57">
        <f t="shared" si="104"/>
        <v>38205935.959889613</v>
      </c>
      <c r="K183" s="57">
        <f>K181+K182</f>
        <v>286773213.36139369</v>
      </c>
      <c r="L183" s="57">
        <f>L181+L182</f>
        <v>0</v>
      </c>
    </row>
    <row r="184" spans="2:24" hidden="1" outlineLevel="1">
      <c r="B184" s="71" t="s">
        <v>345</v>
      </c>
      <c r="E184" s="57">
        <f>E181+E182-E183</f>
        <v>250000000</v>
      </c>
      <c r="F184" s="57">
        <f>F181+F182-F183</f>
        <v>250000000</v>
      </c>
      <c r="G184" s="57">
        <f t="shared" ref="G184:X184" si="105">G181+G182-G183</f>
        <v>250000000</v>
      </c>
      <c r="H184" s="57">
        <f t="shared" si="105"/>
        <v>250000000</v>
      </c>
      <c r="I184" s="57">
        <f t="shared" si="105"/>
        <v>250000000</v>
      </c>
      <c r="J184" s="57">
        <f t="shared" si="105"/>
        <v>249999999.99999997</v>
      </c>
      <c r="K184" s="57">
        <f t="shared" si="105"/>
        <v>0</v>
      </c>
      <c r="L184" s="57">
        <f t="shared" si="105"/>
        <v>0</v>
      </c>
      <c r="M184" s="57">
        <f t="shared" si="105"/>
        <v>0</v>
      </c>
      <c r="N184" s="57">
        <f t="shared" si="105"/>
        <v>0</v>
      </c>
      <c r="O184" s="57">
        <f t="shared" si="105"/>
        <v>0</v>
      </c>
      <c r="P184" s="57">
        <f t="shared" si="105"/>
        <v>0</v>
      </c>
      <c r="Q184" s="57">
        <f t="shared" si="105"/>
        <v>0</v>
      </c>
      <c r="R184" s="57">
        <f t="shared" si="105"/>
        <v>0</v>
      </c>
      <c r="S184" s="57">
        <f t="shared" si="105"/>
        <v>0</v>
      </c>
      <c r="T184" s="57">
        <f t="shared" si="105"/>
        <v>0</v>
      </c>
      <c r="U184" s="57">
        <f t="shared" si="105"/>
        <v>0</v>
      </c>
      <c r="V184" s="57">
        <f t="shared" si="105"/>
        <v>0</v>
      </c>
      <c r="W184" s="57">
        <f t="shared" si="105"/>
        <v>0</v>
      </c>
      <c r="X184" s="57">
        <f t="shared" si="105"/>
        <v>0</v>
      </c>
    </row>
    <row r="185" spans="2:24" hidden="1" outlineLevel="1">
      <c r="B185" s="71" t="s">
        <v>386</v>
      </c>
    </row>
    <row r="186" spans="2:24" hidden="1" outlineLevel="1">
      <c r="B186" s="71" t="s">
        <v>387</v>
      </c>
    </row>
    <row r="187" spans="2:24" hidden="1" outlineLevel="1"/>
    <row r="188" spans="2:24" hidden="1" outlineLevel="1">
      <c r="B188" s="61" t="s">
        <v>382</v>
      </c>
    </row>
    <row r="189" spans="2:24" hidden="1" outlineLevel="1">
      <c r="B189" s="71" t="str">
        <f>B174</f>
        <v>Opening Balance</v>
      </c>
      <c r="E189" s="57">
        <v>1640000000</v>
      </c>
      <c r="F189" s="57">
        <f>E192</f>
        <v>1664600000</v>
      </c>
      <c r="G189" s="57">
        <f t="shared" ref="G189:X189" si="106">F192</f>
        <v>1626492077</v>
      </c>
      <c r="H189" s="57">
        <f t="shared" si="106"/>
        <v>1587812535.155</v>
      </c>
      <c r="I189" s="57">
        <f>H192</f>
        <v>1548552800.1823249</v>
      </c>
      <c r="J189" s="57">
        <f t="shared" si="106"/>
        <v>1508704169.1850598</v>
      </c>
      <c r="K189" s="57">
        <f t="shared" si="106"/>
        <v>1468257808.7228358</v>
      </c>
      <c r="L189" s="57">
        <f t="shared" si="106"/>
        <v>1427204752.8536782</v>
      </c>
      <c r="M189" s="57">
        <f>L192</f>
        <v>1385535901.1464834</v>
      </c>
      <c r="N189" s="57">
        <f t="shared" si="106"/>
        <v>1343242016.6636806</v>
      </c>
      <c r="O189" s="57">
        <f t="shared" si="106"/>
        <v>1300313723.9136357</v>
      </c>
      <c r="P189" s="57">
        <f t="shared" si="106"/>
        <v>1256741506.7723403</v>
      </c>
      <c r="Q189" s="57">
        <f>P192</f>
        <v>1212515706.3739254</v>
      </c>
      <c r="R189" s="57">
        <f t="shared" si="106"/>
        <v>1167626518.9695344</v>
      </c>
      <c r="S189" s="57">
        <f t="shared" si="106"/>
        <v>1122063993.7540774</v>
      </c>
      <c r="T189" s="57">
        <f t="shared" si="106"/>
        <v>1075818030.6603887</v>
      </c>
      <c r="U189" s="57">
        <f>T192</f>
        <v>1028878378.1202946</v>
      </c>
      <c r="V189" s="57">
        <f t="shared" si="106"/>
        <v>981234630.792099</v>
      </c>
      <c r="W189" s="57">
        <f t="shared" si="106"/>
        <v>932876227.25398052</v>
      </c>
      <c r="X189" s="57">
        <f t="shared" si="106"/>
        <v>883792447.66279018</v>
      </c>
    </row>
    <row r="190" spans="2:24" hidden="1" outlineLevel="1">
      <c r="B190" s="71" t="str">
        <f>B175</f>
        <v>Interest</v>
      </c>
      <c r="C190" s="60">
        <v>0.06</v>
      </c>
      <c r="E190" s="57">
        <f>E189*$C190/4</f>
        <v>24600000</v>
      </c>
      <c r="F190" s="57">
        <f>F189*$C190/4</f>
        <v>24969000</v>
      </c>
      <c r="G190" s="57">
        <f t="shared" ref="G190:X190" si="107">G189*$C190/4</f>
        <v>24397381.154999997</v>
      </c>
      <c r="H190" s="57">
        <f t="shared" si="107"/>
        <v>23817188.027324997</v>
      </c>
      <c r="I190" s="57">
        <f t="shared" si="107"/>
        <v>23228292.002734873</v>
      </c>
      <c r="J190" s="57">
        <f t="shared" si="107"/>
        <v>22630562.537775896</v>
      </c>
      <c r="K190" s="57">
        <f t="shared" si="107"/>
        <v>22023867.130842537</v>
      </c>
      <c r="L190" s="57">
        <f t="shared" si="107"/>
        <v>21408071.292805173</v>
      </c>
      <c r="M190" s="57">
        <f t="shared" si="107"/>
        <v>20783038.517197251</v>
      </c>
      <c r="N190" s="57">
        <f t="shared" si="107"/>
        <v>20148630.249955207</v>
      </c>
      <c r="O190" s="57">
        <f t="shared" si="107"/>
        <v>19504705.858704533</v>
      </c>
      <c r="P190" s="57">
        <f t="shared" si="107"/>
        <v>18851122.601585105</v>
      </c>
      <c r="Q190" s="57">
        <f t="shared" si="107"/>
        <v>18187735.595608883</v>
      </c>
      <c r="R190" s="57">
        <f t="shared" si="107"/>
        <v>17514397.784543015</v>
      </c>
      <c r="S190" s="57">
        <f t="shared" si="107"/>
        <v>16830959.906311162</v>
      </c>
      <c r="T190" s="57">
        <f t="shared" si="107"/>
        <v>16137270.459905829</v>
      </c>
      <c r="U190" s="57">
        <f t="shared" si="107"/>
        <v>15433175.671804419</v>
      </c>
      <c r="V190" s="57">
        <f t="shared" si="107"/>
        <v>14718519.461881485</v>
      </c>
      <c r="W190" s="57">
        <f t="shared" si="107"/>
        <v>13993143.408809707</v>
      </c>
      <c r="X190" s="57">
        <f t="shared" si="107"/>
        <v>13256886.714941852</v>
      </c>
    </row>
    <row r="191" spans="2:24" hidden="1" outlineLevel="1">
      <c r="B191" s="71" t="str">
        <f>B176</f>
        <v>less: Repaid</v>
      </c>
      <c r="F191" s="57">
        <v>63076923</v>
      </c>
      <c r="G191" s="57">
        <f>F191</f>
        <v>63076923</v>
      </c>
      <c r="H191" s="57">
        <f t="shared" ref="H191:X191" si="108">G191</f>
        <v>63076923</v>
      </c>
      <c r="I191" s="57">
        <f>H191</f>
        <v>63076923</v>
      </c>
      <c r="J191" s="57">
        <f t="shared" si="108"/>
        <v>63076923</v>
      </c>
      <c r="K191" s="57">
        <f t="shared" si="108"/>
        <v>63076923</v>
      </c>
      <c r="L191" s="57">
        <f t="shared" si="108"/>
        <v>63076923</v>
      </c>
      <c r="M191" s="57">
        <f>L191</f>
        <v>63076923</v>
      </c>
      <c r="N191" s="57">
        <f t="shared" si="108"/>
        <v>63076923</v>
      </c>
      <c r="O191" s="57">
        <f t="shared" si="108"/>
        <v>63076923</v>
      </c>
      <c r="P191" s="57">
        <f t="shared" si="108"/>
        <v>63076923</v>
      </c>
      <c r="Q191" s="57">
        <f>P191</f>
        <v>63076923</v>
      </c>
      <c r="R191" s="57">
        <f t="shared" si="108"/>
        <v>63076923</v>
      </c>
      <c r="S191" s="57">
        <f t="shared" si="108"/>
        <v>63076923</v>
      </c>
      <c r="T191" s="57">
        <f t="shared" si="108"/>
        <v>63076923</v>
      </c>
      <c r="U191" s="57">
        <f>T191</f>
        <v>63076923</v>
      </c>
      <c r="V191" s="57">
        <f t="shared" si="108"/>
        <v>63076923</v>
      </c>
      <c r="W191" s="57">
        <f t="shared" si="108"/>
        <v>63076923</v>
      </c>
      <c r="X191" s="57">
        <f t="shared" si="108"/>
        <v>63076923</v>
      </c>
    </row>
    <row r="192" spans="2:24" hidden="1" outlineLevel="1">
      <c r="B192" s="71" t="str">
        <f>B177</f>
        <v>Closing Debt Balance</v>
      </c>
      <c r="E192" s="57">
        <f>E189+E190-E191</f>
        <v>1664600000</v>
      </c>
      <c r="F192" s="57">
        <f>F189+F190-F191</f>
        <v>1626492077</v>
      </c>
      <c r="G192" s="57">
        <f>G189+G190-G191</f>
        <v>1587812535.155</v>
      </c>
      <c r="H192" s="57">
        <f t="shared" ref="H192:X192" si="109">H189+H190-H191</f>
        <v>1548552800.1823249</v>
      </c>
      <c r="I192" s="57">
        <f t="shared" si="109"/>
        <v>1508704169.1850598</v>
      </c>
      <c r="J192" s="57">
        <f t="shared" si="109"/>
        <v>1468257808.7228358</v>
      </c>
      <c r="K192" s="57">
        <f t="shared" si="109"/>
        <v>1427204752.8536782</v>
      </c>
      <c r="L192" s="57">
        <f t="shared" si="109"/>
        <v>1385535901.1464834</v>
      </c>
      <c r="M192" s="57">
        <f t="shared" si="109"/>
        <v>1343242016.6636806</v>
      </c>
      <c r="N192" s="57">
        <f t="shared" si="109"/>
        <v>1300313723.9136357</v>
      </c>
      <c r="O192" s="57">
        <f t="shared" si="109"/>
        <v>1256741506.7723403</v>
      </c>
      <c r="P192" s="57">
        <f t="shared" si="109"/>
        <v>1212515706.3739254</v>
      </c>
      <c r="Q192" s="57">
        <f t="shared" si="109"/>
        <v>1167626518.9695344</v>
      </c>
      <c r="R192" s="57">
        <f t="shared" si="109"/>
        <v>1122063993.7540774</v>
      </c>
      <c r="S192" s="57">
        <f t="shared" si="109"/>
        <v>1075818030.6603887</v>
      </c>
      <c r="T192" s="57">
        <f t="shared" si="109"/>
        <v>1028878378.1202946</v>
      </c>
      <c r="U192" s="57">
        <f t="shared" si="109"/>
        <v>981234630.792099</v>
      </c>
      <c r="V192" s="57">
        <f t="shared" si="109"/>
        <v>932876227.25398052</v>
      </c>
      <c r="W192" s="57">
        <f t="shared" si="109"/>
        <v>883792447.66279018</v>
      </c>
      <c r="X192" s="57">
        <f t="shared" si="109"/>
        <v>833972411.37773204</v>
      </c>
    </row>
    <row r="193" spans="2:24" hidden="1" outlineLevel="1">
      <c r="B193" s="71" t="s">
        <v>386</v>
      </c>
    </row>
    <row r="194" spans="2:24" hidden="1" outlineLevel="1">
      <c r="B194" s="71" t="s">
        <v>387</v>
      </c>
    </row>
    <row r="195" spans="2:24" hidden="1" outlineLevel="1"/>
    <row r="196" spans="2:24" hidden="1" outlineLevel="1">
      <c r="B196" s="61" t="s">
        <v>384</v>
      </c>
    </row>
    <row r="197" spans="2:24" hidden="1" outlineLevel="1">
      <c r="B197" s="71" t="str">
        <f>B189</f>
        <v>Opening Balance</v>
      </c>
      <c r="E197" s="57">
        <v>346776701</v>
      </c>
      <c r="F197" s="57">
        <f>E200</f>
        <v>346776701</v>
      </c>
      <c r="G197" s="57">
        <f>F200</f>
        <v>346776701</v>
      </c>
      <c r="H197" s="57">
        <f t="shared" ref="H197:X197" si="110">G200</f>
        <v>346776701</v>
      </c>
      <c r="I197" s="57">
        <f>H200</f>
        <v>346776701</v>
      </c>
      <c r="J197" s="57">
        <f t="shared" si="110"/>
        <v>346776701</v>
      </c>
      <c r="K197" s="57">
        <f t="shared" si="110"/>
        <v>346776701</v>
      </c>
      <c r="L197" s="57">
        <f t="shared" si="110"/>
        <v>0</v>
      </c>
      <c r="M197" s="57">
        <f>L200</f>
        <v>0</v>
      </c>
      <c r="N197" s="57">
        <f t="shared" si="110"/>
        <v>0</v>
      </c>
      <c r="O197" s="57">
        <f t="shared" si="110"/>
        <v>0</v>
      </c>
      <c r="P197" s="57">
        <f t="shared" si="110"/>
        <v>0</v>
      </c>
      <c r="Q197" s="57">
        <f>P200</f>
        <v>0</v>
      </c>
      <c r="R197" s="57">
        <f t="shared" si="110"/>
        <v>0</v>
      </c>
      <c r="S197" s="57">
        <f t="shared" si="110"/>
        <v>0</v>
      </c>
      <c r="T197" s="57">
        <f t="shared" si="110"/>
        <v>0</v>
      </c>
      <c r="U197" s="57">
        <f>T200</f>
        <v>0</v>
      </c>
      <c r="V197" s="57">
        <f t="shared" si="110"/>
        <v>0</v>
      </c>
      <c r="W197" s="57">
        <f t="shared" si="110"/>
        <v>0</v>
      </c>
      <c r="X197" s="57">
        <f t="shared" si="110"/>
        <v>0</v>
      </c>
    </row>
    <row r="198" spans="2:24" hidden="1" outlineLevel="1">
      <c r="B198" s="71" t="str">
        <f>B190</f>
        <v>Interest</v>
      </c>
      <c r="C198" s="60">
        <v>0.11749999999999999</v>
      </c>
      <c r="E198" s="57">
        <f>E197*$C198/4</f>
        <v>10186565.591875</v>
      </c>
      <c r="F198" s="57">
        <f>F197*$C198/4</f>
        <v>10186565.591875</v>
      </c>
      <c r="G198" s="57">
        <f>G197*$C198/4</f>
        <v>10186565.591875</v>
      </c>
      <c r="H198" s="57">
        <f t="shared" ref="H198:X198" si="111">H197*$C198/4</f>
        <v>10186565.591875</v>
      </c>
      <c r="I198" s="57">
        <f t="shared" si="111"/>
        <v>10186565.591875</v>
      </c>
      <c r="J198" s="57">
        <f t="shared" si="111"/>
        <v>10186565.591875</v>
      </c>
      <c r="K198" s="57">
        <f t="shared" si="111"/>
        <v>10186565.591875</v>
      </c>
      <c r="L198" s="57">
        <f t="shared" si="111"/>
        <v>0</v>
      </c>
      <c r="M198" s="57">
        <f t="shared" si="111"/>
        <v>0</v>
      </c>
      <c r="N198" s="57">
        <f t="shared" si="111"/>
        <v>0</v>
      </c>
      <c r="O198" s="57">
        <f t="shared" si="111"/>
        <v>0</v>
      </c>
      <c r="P198" s="57">
        <f t="shared" si="111"/>
        <v>0</v>
      </c>
      <c r="Q198" s="57">
        <f t="shared" si="111"/>
        <v>0</v>
      </c>
      <c r="R198" s="57">
        <f t="shared" si="111"/>
        <v>0</v>
      </c>
      <c r="S198" s="57">
        <f t="shared" si="111"/>
        <v>0</v>
      </c>
      <c r="T198" s="57">
        <f t="shared" si="111"/>
        <v>0</v>
      </c>
      <c r="U198" s="57">
        <f t="shared" si="111"/>
        <v>0</v>
      </c>
      <c r="V198" s="57">
        <f t="shared" si="111"/>
        <v>0</v>
      </c>
      <c r="W198" s="57">
        <f t="shared" si="111"/>
        <v>0</v>
      </c>
      <c r="X198" s="57">
        <f t="shared" si="111"/>
        <v>0</v>
      </c>
    </row>
    <row r="199" spans="2:24" hidden="1" outlineLevel="1">
      <c r="B199" s="71" t="str">
        <f>B191</f>
        <v>less: Repaid</v>
      </c>
      <c r="E199" s="57">
        <f t="shared" ref="E199:J199" si="112">E198</f>
        <v>10186565.591875</v>
      </c>
      <c r="F199" s="57">
        <f t="shared" si="112"/>
        <v>10186565.591875</v>
      </c>
      <c r="G199" s="57">
        <f t="shared" si="112"/>
        <v>10186565.591875</v>
      </c>
      <c r="H199" s="57">
        <f t="shared" si="112"/>
        <v>10186565.591875</v>
      </c>
      <c r="I199" s="57">
        <f t="shared" si="112"/>
        <v>10186565.591875</v>
      </c>
      <c r="J199" s="57">
        <f t="shared" si="112"/>
        <v>10186565.591875</v>
      </c>
      <c r="K199" s="57">
        <f>K197+K198</f>
        <v>356963266.59187502</v>
      </c>
      <c r="L199" s="57">
        <f>L197+L198</f>
        <v>0</v>
      </c>
    </row>
    <row r="200" spans="2:24" hidden="1" outlineLevel="1">
      <c r="B200" s="71" t="str">
        <f>B192</f>
        <v>Closing Debt Balance</v>
      </c>
      <c r="E200" s="57">
        <f>E197+E198-E199</f>
        <v>346776701</v>
      </c>
      <c r="F200" s="57">
        <f>F197+F198-F199</f>
        <v>346776701</v>
      </c>
      <c r="G200" s="57">
        <f>G197+G198-G199</f>
        <v>346776701</v>
      </c>
      <c r="H200" s="57">
        <f t="shared" ref="H200:X200" si="113">H197+H198-H199</f>
        <v>346776701</v>
      </c>
      <c r="I200" s="57">
        <f t="shared" si="113"/>
        <v>346776701</v>
      </c>
      <c r="J200" s="57">
        <f t="shared" si="113"/>
        <v>346776701</v>
      </c>
      <c r="K200" s="57">
        <f t="shared" si="113"/>
        <v>0</v>
      </c>
      <c r="L200" s="57">
        <f t="shared" si="113"/>
        <v>0</v>
      </c>
      <c r="M200" s="57">
        <f t="shared" si="113"/>
        <v>0</v>
      </c>
      <c r="N200" s="57">
        <f t="shared" si="113"/>
        <v>0</v>
      </c>
      <c r="O200" s="57">
        <f t="shared" si="113"/>
        <v>0</v>
      </c>
      <c r="P200" s="57">
        <f t="shared" si="113"/>
        <v>0</v>
      </c>
      <c r="Q200" s="57">
        <f t="shared" si="113"/>
        <v>0</v>
      </c>
      <c r="R200" s="57">
        <f t="shared" si="113"/>
        <v>0</v>
      </c>
      <c r="S200" s="57">
        <f t="shared" si="113"/>
        <v>0</v>
      </c>
      <c r="T200" s="57">
        <f t="shared" si="113"/>
        <v>0</v>
      </c>
      <c r="U200" s="57">
        <f t="shared" si="113"/>
        <v>0</v>
      </c>
      <c r="V200" s="57">
        <f t="shared" si="113"/>
        <v>0</v>
      </c>
      <c r="W200" s="57">
        <f t="shared" si="113"/>
        <v>0</v>
      </c>
      <c r="X200" s="57">
        <f t="shared" si="113"/>
        <v>0</v>
      </c>
    </row>
    <row r="201" spans="2:24" hidden="1" outlineLevel="1">
      <c r="B201" s="71" t="s">
        <v>386</v>
      </c>
    </row>
    <row r="202" spans="2:24" hidden="1" outlineLevel="1">
      <c r="B202" s="71" t="s">
        <v>387</v>
      </c>
    </row>
    <row r="203" spans="2:24" hidden="1" outlineLevel="1"/>
    <row r="204" spans="2:24" hidden="1" outlineLevel="1">
      <c r="B204" s="61" t="s">
        <v>385</v>
      </c>
    </row>
    <row r="205" spans="2:24" hidden="1" outlineLevel="1">
      <c r="B205" s="71" t="str">
        <f>B197</f>
        <v>Opening Balance</v>
      </c>
      <c r="E205" s="57">
        <f>C177-SUM(E181,E189,E197)</f>
        <v>871272727.69000006</v>
      </c>
      <c r="F205" s="57">
        <f>E208</f>
        <v>836298036.19684112</v>
      </c>
      <c r="G205" s="57">
        <f t="shared" ref="G205:L205" si="114">F208</f>
        <v>800536414.14508617</v>
      </c>
      <c r="H205" s="57">
        <f t="shared" si="114"/>
        <v>763970155.59716678</v>
      </c>
      <c r="I205" s="57">
        <f>H208</f>
        <v>726581156.23191917</v>
      </c>
      <c r="J205" s="57">
        <f t="shared" si="114"/>
        <v>688350904.38095343</v>
      </c>
      <c r="K205" s="57">
        <f t="shared" si="114"/>
        <v>649260471.86334097</v>
      </c>
      <c r="L205" s="57">
        <f t="shared" si="114"/>
        <v>0</v>
      </c>
      <c r="M205" s="57">
        <f>L208</f>
        <v>0</v>
      </c>
    </row>
    <row r="206" spans="2:24" hidden="1" outlineLevel="1">
      <c r="B206" s="71" t="s">
        <v>344</v>
      </c>
      <c r="C206" s="58">
        <v>0.09</v>
      </c>
      <c r="E206" s="57">
        <f>E205*($C206/4)</f>
        <v>19603636.373025</v>
      </c>
      <c r="F206" s="57">
        <f>F205*($C206/4)</f>
        <v>18816705.814428926</v>
      </c>
      <c r="G206" s="57">
        <f t="shared" ref="G206:L206" si="115">G205*($C206/4)</f>
        <v>18012069.31826444</v>
      </c>
      <c r="H206" s="57">
        <f t="shared" si="115"/>
        <v>17189328.500936251</v>
      </c>
      <c r="I206" s="57">
        <f t="shared" si="115"/>
        <v>16348076.015218182</v>
      </c>
      <c r="J206" s="57">
        <f t="shared" si="115"/>
        <v>15487895.348571451</v>
      </c>
      <c r="K206" s="57">
        <f t="shared" si="115"/>
        <v>14608360.616925171</v>
      </c>
      <c r="L206" s="57">
        <f t="shared" si="115"/>
        <v>0</v>
      </c>
    </row>
    <row r="207" spans="2:24" hidden="1" outlineLevel="1">
      <c r="B207" s="71" t="s">
        <v>348</v>
      </c>
      <c r="E207" s="57">
        <f t="shared" ref="E207:J207" si="116">-$C210</f>
        <v>54578327.866183825</v>
      </c>
      <c r="F207" s="57">
        <f t="shared" si="116"/>
        <v>54578327.866183825</v>
      </c>
      <c r="G207" s="57">
        <f t="shared" si="116"/>
        <v>54578327.866183825</v>
      </c>
      <c r="H207" s="57">
        <f t="shared" si="116"/>
        <v>54578327.866183825</v>
      </c>
      <c r="I207" s="57">
        <f t="shared" si="116"/>
        <v>54578327.866183825</v>
      </c>
      <c r="J207" s="57">
        <f t="shared" si="116"/>
        <v>54578327.866183825</v>
      </c>
      <c r="K207" s="57">
        <f>K205+K206</f>
        <v>663868832.48026609</v>
      </c>
      <c r="L207" s="57">
        <f>L205+L206</f>
        <v>0</v>
      </c>
    </row>
    <row r="208" spans="2:24" hidden="1" outlineLevel="1">
      <c r="B208" s="71" t="s">
        <v>345</v>
      </c>
      <c r="E208" s="57">
        <f>E205+E206-E207</f>
        <v>836298036.19684112</v>
      </c>
      <c r="F208" s="57">
        <f>F205+F206-F207</f>
        <v>800536414.14508617</v>
      </c>
      <c r="G208" s="57">
        <f t="shared" ref="G208:L208" si="117">G205+G206-G207</f>
        <v>763970155.59716678</v>
      </c>
      <c r="H208" s="57">
        <f t="shared" si="117"/>
        <v>726581156.23191917</v>
      </c>
      <c r="I208" s="57">
        <f t="shared" si="117"/>
        <v>688350904.38095343</v>
      </c>
      <c r="J208" s="57">
        <f t="shared" si="117"/>
        <v>649260471.86334097</v>
      </c>
      <c r="K208" s="57">
        <f t="shared" si="117"/>
        <v>0</v>
      </c>
      <c r="L208" s="57">
        <f t="shared" si="117"/>
        <v>0</v>
      </c>
    </row>
    <row r="209" spans="2:3" hidden="1" outlineLevel="1">
      <c r="B209" s="71" t="s">
        <v>386</v>
      </c>
      <c r="C209" s="57">
        <f>5*4</f>
        <v>20</v>
      </c>
    </row>
    <row r="210" spans="2:3" hidden="1" outlineLevel="1">
      <c r="B210" s="71" t="s">
        <v>387</v>
      </c>
      <c r="C210" s="57">
        <f>PMT(C206/4,C209,$E$205)</f>
        <v>-54578327.866183825</v>
      </c>
    </row>
    <row r="211" spans="2:3" collapsed="1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24BB-7FE1-DF48-ADC0-81C919BF5CF0}">
  <sheetPr>
    <tabColor theme="3" tint="-0.249977111117893"/>
  </sheetPr>
  <dimension ref="A1:AB45"/>
  <sheetViews>
    <sheetView showGridLines="0" zoomScaleNormal="100" workbookViewId="0">
      <pane xSplit="2" ySplit="3" topLeftCell="C4" activePane="bottomRight" state="frozen"/>
      <selection activeCell="H41" sqref="H41"/>
      <selection pane="topRight" activeCell="H41" sqref="H41"/>
      <selection pane="bottomLeft" activeCell="H41" sqref="H41"/>
      <selection pane="bottomRight" activeCell="G25" sqref="G25"/>
    </sheetView>
  </sheetViews>
  <sheetFormatPr defaultColWidth="0" defaultRowHeight="14.4"/>
  <cols>
    <col min="1" max="1" width="2.6640625" customWidth="1"/>
    <col min="2" max="2" width="45.109375" bestFit="1" customWidth="1"/>
    <col min="3" max="3" width="16.77734375" bestFit="1" customWidth="1"/>
    <col min="4" max="4" width="16" style="178" customWidth="1"/>
    <col min="5" max="5" width="16.44140625" style="178" customWidth="1"/>
    <col min="6" max="6" width="17.33203125" style="178" customWidth="1"/>
    <col min="7" max="7" width="17" style="178" customWidth="1"/>
    <col min="8" max="8" width="17" style="178" hidden="1" customWidth="1"/>
    <col min="9" max="9" width="17.33203125" style="178" customWidth="1"/>
    <col min="10" max="10" width="16.44140625" style="178" customWidth="1"/>
    <col min="11" max="11" width="17.33203125" style="178" customWidth="1"/>
    <col min="12" max="12" width="17" style="178" customWidth="1"/>
    <col min="13" max="13" width="17" style="178" hidden="1" customWidth="1"/>
    <col min="14" max="14" width="17.33203125" style="178" customWidth="1"/>
    <col min="15" max="15" width="16.44140625" style="178" customWidth="1"/>
    <col min="16" max="16" width="17.33203125" style="178" customWidth="1"/>
    <col min="17" max="17" width="17" style="178" customWidth="1"/>
    <col min="18" max="18" width="17" style="178" hidden="1" customWidth="1"/>
    <col min="19" max="20" width="16.44140625" style="178" customWidth="1"/>
    <col min="21" max="21" width="17.33203125" style="178" customWidth="1"/>
    <col min="22" max="22" width="17" style="178" customWidth="1"/>
    <col min="23" max="23" width="17" style="178" hidden="1" customWidth="1"/>
    <col min="24" max="26" width="16.44140625" style="178" customWidth="1"/>
    <col min="27" max="27" width="17" style="178" customWidth="1"/>
    <col min="28" max="28" width="17" style="178" hidden="1" customWidth="1"/>
    <col min="29" max="16384" width="11.44140625" style="178" hidden="1"/>
  </cols>
  <sheetData>
    <row r="1" spans="1:28">
      <c r="B1" s="80" t="s">
        <v>60</v>
      </c>
      <c r="C1" s="80"/>
      <c r="D1" s="177">
        <f t="shared" ref="D1:AA1" si="0">300/4</f>
        <v>75</v>
      </c>
      <c r="E1" s="177">
        <f t="shared" si="0"/>
        <v>75</v>
      </c>
      <c r="F1" s="177">
        <f t="shared" si="0"/>
        <v>75</v>
      </c>
      <c r="G1" s="177">
        <f t="shared" si="0"/>
        <v>75</v>
      </c>
      <c r="H1" s="177"/>
      <c r="I1" s="177">
        <f t="shared" si="0"/>
        <v>75</v>
      </c>
      <c r="J1" s="177">
        <f t="shared" si="0"/>
        <v>75</v>
      </c>
      <c r="K1" s="177">
        <f t="shared" si="0"/>
        <v>75</v>
      </c>
      <c r="L1" s="177">
        <f t="shared" si="0"/>
        <v>75</v>
      </c>
      <c r="M1" s="177"/>
      <c r="N1" s="177">
        <f t="shared" si="0"/>
        <v>75</v>
      </c>
      <c r="O1" s="177">
        <f t="shared" si="0"/>
        <v>75</v>
      </c>
      <c r="P1" s="177">
        <f t="shared" si="0"/>
        <v>75</v>
      </c>
      <c r="Q1" s="177">
        <f t="shared" si="0"/>
        <v>75</v>
      </c>
      <c r="R1" s="177"/>
      <c r="S1" s="177">
        <f t="shared" si="0"/>
        <v>75</v>
      </c>
      <c r="T1" s="177">
        <f t="shared" si="0"/>
        <v>75</v>
      </c>
      <c r="U1" s="177">
        <f t="shared" si="0"/>
        <v>75</v>
      </c>
      <c r="V1" s="177">
        <f t="shared" si="0"/>
        <v>75</v>
      </c>
      <c r="W1" s="177"/>
      <c r="X1" s="177">
        <f t="shared" si="0"/>
        <v>75</v>
      </c>
      <c r="Y1" s="177">
        <f t="shared" si="0"/>
        <v>75</v>
      </c>
      <c r="Z1" s="177">
        <f t="shared" si="0"/>
        <v>75</v>
      </c>
      <c r="AA1" s="177">
        <f t="shared" si="0"/>
        <v>75</v>
      </c>
      <c r="AB1" s="177"/>
    </row>
    <row r="2" spans="1:28" s="179" customFormat="1" ht="13.8">
      <c r="A2" s="52"/>
      <c r="B2" s="81" t="s">
        <v>58</v>
      </c>
      <c r="C2" s="81"/>
      <c r="D2" s="177">
        <v>1</v>
      </c>
      <c r="E2" s="177">
        <f t="shared" ref="E2:AA2" si="1">D2+1</f>
        <v>2</v>
      </c>
      <c r="F2" s="177">
        <f t="shared" si="1"/>
        <v>3</v>
      </c>
      <c r="G2" s="177">
        <f t="shared" si="1"/>
        <v>4</v>
      </c>
      <c r="H2" s="177"/>
      <c r="I2" s="177">
        <f>G2+1</f>
        <v>5</v>
      </c>
      <c r="J2" s="177">
        <f t="shared" si="1"/>
        <v>6</v>
      </c>
      <c r="K2" s="177">
        <f t="shared" si="1"/>
        <v>7</v>
      </c>
      <c r="L2" s="177">
        <f t="shared" si="1"/>
        <v>8</v>
      </c>
      <c r="M2" s="177"/>
      <c r="N2" s="177">
        <f>L2+1</f>
        <v>9</v>
      </c>
      <c r="O2" s="177">
        <f t="shared" si="1"/>
        <v>10</v>
      </c>
      <c r="P2" s="177">
        <f t="shared" si="1"/>
        <v>11</v>
      </c>
      <c r="Q2" s="177">
        <f t="shared" si="1"/>
        <v>12</v>
      </c>
      <c r="R2" s="177"/>
      <c r="S2" s="177">
        <f>Q2+1</f>
        <v>13</v>
      </c>
      <c r="T2" s="177">
        <f t="shared" si="1"/>
        <v>14</v>
      </c>
      <c r="U2" s="177">
        <f t="shared" si="1"/>
        <v>15</v>
      </c>
      <c r="V2" s="177">
        <f t="shared" si="1"/>
        <v>16</v>
      </c>
      <c r="W2" s="177"/>
      <c r="X2" s="177">
        <f>V2+1</f>
        <v>17</v>
      </c>
      <c r="Y2" s="177">
        <f t="shared" si="1"/>
        <v>18</v>
      </c>
      <c r="Z2" s="177">
        <f t="shared" si="1"/>
        <v>19</v>
      </c>
      <c r="AA2" s="177">
        <f t="shared" si="1"/>
        <v>20</v>
      </c>
      <c r="AB2" s="177"/>
    </row>
    <row r="3" spans="1:28">
      <c r="B3" s="81" t="s">
        <v>413</v>
      </c>
      <c r="C3" s="80"/>
      <c r="D3" s="177">
        <v>45838</v>
      </c>
      <c r="E3" s="177">
        <f>EOMONTH(D3,3)</f>
        <v>45930</v>
      </c>
      <c r="F3" s="177">
        <f>EOMONTH(E3,3)</f>
        <v>46022</v>
      </c>
      <c r="G3" s="177">
        <f>EOMONTH(F3,3)</f>
        <v>46112</v>
      </c>
      <c r="H3" s="180"/>
      <c r="I3" s="177">
        <f>EOMONTH(G3,3)</f>
        <v>46203</v>
      </c>
      <c r="J3" s="177">
        <f>EOMONTH(I3,3)</f>
        <v>46295</v>
      </c>
      <c r="K3" s="177">
        <f>EOMONTH(J3,3)</f>
        <v>46387</v>
      </c>
      <c r="L3" s="177">
        <f>EOMONTH(K3,3)</f>
        <v>46477</v>
      </c>
      <c r="M3" s="180"/>
      <c r="N3" s="177">
        <f>EOMONTH(L3,3)</f>
        <v>46568</v>
      </c>
      <c r="O3" s="177">
        <f>EOMONTH(N3,3)</f>
        <v>46660</v>
      </c>
      <c r="P3" s="177">
        <f>EOMONTH(O3,3)</f>
        <v>46752</v>
      </c>
      <c r="Q3" s="177">
        <f>EOMONTH(P3,3)</f>
        <v>46843</v>
      </c>
      <c r="R3" s="180"/>
      <c r="S3" s="177">
        <f>EOMONTH(Q3,3)</f>
        <v>46934</v>
      </c>
      <c r="T3" s="177">
        <f>EOMONTH(S3,3)</f>
        <v>47026</v>
      </c>
      <c r="U3" s="177">
        <f>EOMONTH(T3,3)</f>
        <v>47118</v>
      </c>
      <c r="V3" s="177">
        <f>EOMONTH(U3,3)</f>
        <v>47208</v>
      </c>
      <c r="W3" s="177"/>
      <c r="X3" s="177">
        <f>EOMONTH(V3,3)</f>
        <v>47299</v>
      </c>
      <c r="Y3" s="177">
        <f>EOMONTH(X3,3)</f>
        <v>47391</v>
      </c>
      <c r="Z3" s="177">
        <f>EOMONTH(Y3,3)</f>
        <v>47483</v>
      </c>
      <c r="AA3" s="177">
        <f>EOMONTH(Z3,3)</f>
        <v>47573</v>
      </c>
      <c r="AB3" s="177"/>
    </row>
    <row r="5" spans="1:28">
      <c r="A5" s="161" t="s">
        <v>367</v>
      </c>
      <c r="B5" s="64" t="s">
        <v>317</v>
      </c>
    </row>
    <row r="6" spans="1:28">
      <c r="B6" s="71" t="s">
        <v>318</v>
      </c>
      <c r="C6" s="71"/>
      <c r="D6" s="181">
        <f>PL!E53</f>
        <v>57938601.013170511</v>
      </c>
      <c r="E6" s="181">
        <f>PL!F53</f>
        <v>27364705.549381249</v>
      </c>
      <c r="F6" s="181">
        <f>PL!G53</f>
        <v>306004225.51207042</v>
      </c>
      <c r="G6" s="181">
        <f>PL!H53</f>
        <v>373185232.82317078</v>
      </c>
      <c r="H6" s="181"/>
      <c r="I6" s="181">
        <f>PL!J53</f>
        <v>322071559.65556943</v>
      </c>
      <c r="J6" s="181">
        <f>PL!K53</f>
        <v>321453271.4847914</v>
      </c>
      <c r="K6" s="181">
        <f>PL!L53</f>
        <v>370963958.06626046</v>
      </c>
      <c r="L6" s="181">
        <f>PL!M53</f>
        <v>686779166.00969076</v>
      </c>
      <c r="M6" s="181"/>
      <c r="N6" s="181">
        <f>PL!O53</f>
        <v>634671635.88743222</v>
      </c>
      <c r="O6" s="181">
        <f>PL!P53</f>
        <v>600177270.29471517</v>
      </c>
      <c r="P6" s="181">
        <f>PL!Q53</f>
        <v>484123542.06471074</v>
      </c>
      <c r="Q6" s="181">
        <f>PL!R53</f>
        <v>751010825.63039708</v>
      </c>
      <c r="R6" s="181"/>
      <c r="S6" s="181">
        <f>PL!T53</f>
        <v>688710970.38469696</v>
      </c>
      <c r="T6" s="181">
        <f>PL!U53</f>
        <v>635458823.57596803</v>
      </c>
      <c r="U6" s="181">
        <f>PL!V53</f>
        <v>634501612.12280273</v>
      </c>
      <c r="V6" s="181">
        <f>PL!W53</f>
        <v>804691276.42400742</v>
      </c>
      <c r="W6" s="181"/>
      <c r="X6" s="181">
        <f>PL!Y53</f>
        <v>725352219.53318739</v>
      </c>
      <c r="Y6" s="181">
        <f>PL!Z53</f>
        <v>706925913.73267579</v>
      </c>
      <c r="Z6" s="181">
        <f>PL!AA53</f>
        <v>699783556.65881705</v>
      </c>
      <c r="AA6" s="181">
        <f>PL!AB53</f>
        <v>882422158.64271879</v>
      </c>
      <c r="AB6" s="181"/>
    </row>
    <row r="7" spans="1:28">
      <c r="B7" s="71" t="s">
        <v>319</v>
      </c>
      <c r="C7" s="71"/>
      <c r="D7" s="181">
        <f>PL!E46</f>
        <v>45302309.735250004</v>
      </c>
      <c r="E7" s="181">
        <f>PL!F46</f>
        <v>43603473.120178126</v>
      </c>
      <c r="F7" s="181">
        <f>PL!G46</f>
        <v>116163684.75092144</v>
      </c>
      <c r="G7" s="181">
        <f>PL!H46</f>
        <v>111807546.57276189</v>
      </c>
      <c r="H7" s="181"/>
      <c r="I7" s="181">
        <f>PL!J46</f>
        <v>107614763.57628331</v>
      </c>
      <c r="J7" s="181">
        <f>PL!K46</f>
        <v>103579209.94217268</v>
      </c>
      <c r="K7" s="181">
        <f>PL!L46</f>
        <v>99694989.569341213</v>
      </c>
      <c r="L7" s="181">
        <f>PL!M46</f>
        <v>95956427.460490912</v>
      </c>
      <c r="M7" s="181"/>
      <c r="N7" s="181">
        <f>PL!O46</f>
        <v>92358061.430722505</v>
      </c>
      <c r="O7" s="181">
        <f>PL!P46</f>
        <v>88894634.127070412</v>
      </c>
      <c r="P7" s="181">
        <f>PL!Q46</f>
        <v>85561085.347305268</v>
      </c>
      <c r="Q7" s="181">
        <f>PL!R46</f>
        <v>82352544.646781325</v>
      </c>
      <c r="R7" s="181"/>
      <c r="S7" s="181">
        <f>PL!T46</f>
        <v>79264324.222527027</v>
      </c>
      <c r="T7" s="181">
        <f>PL!U46</f>
        <v>76291912.064182267</v>
      </c>
      <c r="U7" s="181">
        <f>PL!V46</f>
        <v>73430965.361775428</v>
      </c>
      <c r="V7" s="181">
        <f>PL!W46</f>
        <v>70677304.16070886</v>
      </c>
      <c r="W7" s="181"/>
      <c r="X7" s="181">
        <f>PL!Y46</f>
        <v>68026905.254682273</v>
      </c>
      <c r="Y7" s="181">
        <f>PL!Z46</f>
        <v>65475896.307631694</v>
      </c>
      <c r="Z7" s="181">
        <f>PL!AA46</f>
        <v>63020550.196095504</v>
      </c>
      <c r="AA7" s="181">
        <f>PL!AB46</f>
        <v>60657279.563741922</v>
      </c>
      <c r="AB7" s="181"/>
    </row>
    <row r="8" spans="1:28">
      <c r="B8" s="71" t="s">
        <v>320</v>
      </c>
      <c r="C8" s="71"/>
      <c r="D8" s="181">
        <f>PL!E47</f>
        <v>93282407.088550001</v>
      </c>
      <c r="E8" s="181">
        <f>PL!F47</f>
        <v>98489476.529953927</v>
      </c>
      <c r="F8" s="181">
        <f>PL!G47</f>
        <v>95443825.996652558</v>
      </c>
      <c r="G8" s="181">
        <f>PL!H47</f>
        <v>92434099.179217637</v>
      </c>
      <c r="H8" s="181"/>
      <c r="I8" s="181">
        <f>PL!J47</f>
        <v>89457412.529193893</v>
      </c>
      <c r="J8" s="181">
        <f>PL!K47</f>
        <v>86510959.438111961</v>
      </c>
      <c r="K8" s="181">
        <f>PL!L47</f>
        <v>83592006.701036453</v>
      </c>
      <c r="L8" s="181">
        <f>PL!M47</f>
        <v>21408071.292805173</v>
      </c>
      <c r="M8" s="181"/>
      <c r="N8" s="181">
        <f>PL!O47</f>
        <v>20783038.517197251</v>
      </c>
      <c r="O8" s="181">
        <f>PL!P47</f>
        <v>20148630.249955207</v>
      </c>
      <c r="P8" s="181">
        <f>PL!Q47</f>
        <v>19504705.858704533</v>
      </c>
      <c r="Q8" s="181">
        <f>PL!R47</f>
        <v>18851122.601585105</v>
      </c>
      <c r="R8" s="181"/>
      <c r="S8" s="181">
        <f>PL!T47</f>
        <v>18187735.595608883</v>
      </c>
      <c r="T8" s="181">
        <f>PL!U47</f>
        <v>17514397.784543015</v>
      </c>
      <c r="U8" s="181">
        <f>PL!V47</f>
        <v>16830959.906311162</v>
      </c>
      <c r="V8" s="181">
        <f>PL!W47</f>
        <v>16137270.459905829</v>
      </c>
      <c r="W8" s="181"/>
      <c r="X8" s="181">
        <f>PL!Y47</f>
        <v>15433175.671804419</v>
      </c>
      <c r="Y8" s="181">
        <f>PL!Z47</f>
        <v>14718519.461881485</v>
      </c>
      <c r="Z8" s="181">
        <f>PL!AA47</f>
        <v>13993143.408809707</v>
      </c>
      <c r="AA8" s="181">
        <f>PL!AB47</f>
        <v>13256886.714941852</v>
      </c>
      <c r="AB8" s="181"/>
    </row>
    <row r="9" spans="1:28">
      <c r="B9" s="71" t="s">
        <v>321</v>
      </c>
      <c r="C9" s="71"/>
      <c r="D9" s="181">
        <f>-BS!E50</f>
        <v>-51493238.78952384</v>
      </c>
      <c r="E9" s="182">
        <f>-BS!F50</f>
        <v>756597377.5029763</v>
      </c>
      <c r="F9" s="181">
        <f>-BS!G50</f>
        <v>-759267882.67685783</v>
      </c>
      <c r="G9" s="181">
        <f>-BS!H50</f>
        <v>-511682387.62744379</v>
      </c>
      <c r="H9" s="181"/>
      <c r="I9" s="181">
        <f>-BS!I50</f>
        <v>368543976.87169766</v>
      </c>
      <c r="J9" s="181">
        <f>-BS!J50</f>
        <v>523690972.7254498</v>
      </c>
      <c r="K9" s="181">
        <f>-BS!K50</f>
        <v>-6756836479.7830582</v>
      </c>
      <c r="L9" s="181">
        <f>-BS!L50</f>
        <v>2314633532.8515596</v>
      </c>
      <c r="M9" s="181"/>
      <c r="N9" s="181">
        <f>-BS!M50</f>
        <v>2248625301.6525145</v>
      </c>
      <c r="O9" s="181">
        <f>-BS!N50</f>
        <v>2192869756.736289</v>
      </c>
      <c r="P9" s="181">
        <f>-BS!O50</f>
        <v>-7186331486.7087078</v>
      </c>
      <c r="Q9" s="181">
        <f>-BS!P50</f>
        <v>2453184331.8380585</v>
      </c>
      <c r="R9" s="181"/>
      <c r="S9" s="181">
        <f>-BS!Q50</f>
        <v>2383959794.9562149</v>
      </c>
      <c r="T9" s="181">
        <f>-BS!R50</f>
        <v>2319242561.6727819</v>
      </c>
      <c r="U9" s="181">
        <f>-BS!S50</f>
        <v>-7865097525.0150156</v>
      </c>
      <c r="V9" s="181">
        <f>-BS!T50</f>
        <v>2686155682.4948711</v>
      </c>
      <c r="W9" s="181"/>
      <c r="X9" s="181">
        <f>-BS!U50</f>
        <v>2474622936.9632206</v>
      </c>
      <c r="Y9" s="181">
        <f>-BS!V50</f>
        <v>2532349793.7746124</v>
      </c>
      <c r="Z9" s="181">
        <f>-BS!W50</f>
        <v>-8493475202.6286526</v>
      </c>
      <c r="AA9" s="181">
        <f>-BS!X50</f>
        <v>2920050364.7681675</v>
      </c>
      <c r="AB9" s="181"/>
    </row>
    <row r="10" spans="1:28" s="183" customFormat="1">
      <c r="A10" s="1"/>
      <c r="B10" s="81" t="s">
        <v>317</v>
      </c>
      <c r="C10" s="81"/>
      <c r="D10" s="177">
        <f>SUM(D6:D9)</f>
        <v>145030079.04744667</v>
      </c>
      <c r="E10" s="177">
        <f t="shared" ref="E10:Z10" si="2">SUM(E6:E9)</f>
        <v>926055032.70248961</v>
      </c>
      <c r="F10" s="177">
        <f t="shared" si="2"/>
        <v>-241656146.41721344</v>
      </c>
      <c r="G10" s="177">
        <f t="shared" si="2"/>
        <v>65744490.947706461</v>
      </c>
      <c r="H10" s="177"/>
      <c r="I10" s="177">
        <f>SUM(I6:I9)</f>
        <v>887687712.63274431</v>
      </c>
      <c r="J10" s="177">
        <f>SUM(J6:J9)</f>
        <v>1035234413.5905259</v>
      </c>
      <c r="K10" s="177">
        <f t="shared" si="2"/>
        <v>-6202585525.4464197</v>
      </c>
      <c r="L10" s="177">
        <f>SUM(L6:L9)</f>
        <v>3118777197.6145468</v>
      </c>
      <c r="M10" s="177"/>
      <c r="N10" s="177">
        <f t="shared" si="2"/>
        <v>2996438037.4878664</v>
      </c>
      <c r="O10" s="177">
        <f t="shared" si="2"/>
        <v>2902090291.4080296</v>
      </c>
      <c r="P10" s="177">
        <f t="shared" si="2"/>
        <v>-6597142153.4379873</v>
      </c>
      <c r="Q10" s="177">
        <f t="shared" si="2"/>
        <v>3305398824.7168221</v>
      </c>
      <c r="R10" s="177"/>
      <c r="S10" s="177">
        <f t="shared" si="2"/>
        <v>3170122825.1590476</v>
      </c>
      <c r="T10" s="177">
        <f t="shared" si="2"/>
        <v>3048507695.0974751</v>
      </c>
      <c r="U10" s="177">
        <f t="shared" si="2"/>
        <v>-7140333987.6241264</v>
      </c>
      <c r="V10" s="177">
        <f t="shared" si="2"/>
        <v>3577661533.5394936</v>
      </c>
      <c r="W10" s="177"/>
      <c r="X10" s="177">
        <f t="shared" si="2"/>
        <v>3283435237.4228945</v>
      </c>
      <c r="Y10" s="177">
        <f t="shared" si="2"/>
        <v>3319470123.2768016</v>
      </c>
      <c r="Z10" s="177">
        <f t="shared" si="2"/>
        <v>-7716677952.3649302</v>
      </c>
      <c r="AA10" s="177">
        <f>SUM(AA6:AA9)</f>
        <v>3876386689.68957</v>
      </c>
      <c r="AB10" s="177"/>
    </row>
    <row r="11" spans="1:28">
      <c r="B11" s="65"/>
    </row>
    <row r="12" spans="1:28">
      <c r="A12" s="1" t="s">
        <v>367</v>
      </c>
      <c r="B12" s="64" t="s">
        <v>322</v>
      </c>
    </row>
    <row r="13" spans="1:28">
      <c r="B13" s="71" t="s">
        <v>365</v>
      </c>
      <c r="C13" s="71"/>
      <c r="D13" s="181">
        <f>-(BS!E17-BS!C17-BS!E162)</f>
        <v>-7.4505805969238281E-9</v>
      </c>
      <c r="E13" s="181">
        <f>-(BS!F17-BS!E17-BS!F162)</f>
        <v>9.6857547760009766E-8</v>
      </c>
      <c r="F13" s="181">
        <f>-(BS!G17-BS!F17-BS!G162)</f>
        <v>0</v>
      </c>
      <c r="G13" s="181">
        <f>-(BS!H17-BS!G17-BS!H162)</f>
        <v>5.2154064178466797E-8</v>
      </c>
      <c r="H13" s="181"/>
      <c r="I13" s="181">
        <f>-(BS!I17-BS!H17-BS!I162)</f>
        <v>5.2154064178466797E-8</v>
      </c>
      <c r="J13" s="181">
        <f>-(BS!J17-BS!I17-BS!J162)</f>
        <v>2.9802322387695313E-8</v>
      </c>
      <c r="K13" s="181">
        <f>-(BS!K17-BS!J17-BS!K162)</f>
        <v>-1.4901161193847656E-8</v>
      </c>
      <c r="L13" s="181">
        <f>-(BS!L17-BS!K17-BS!L162)</f>
        <v>-2.9802322387695313E-8</v>
      </c>
      <c r="M13" s="181"/>
      <c r="N13" s="181">
        <f>-(BS!M17-BS!L17-BS!M162)</f>
        <v>-1.862645149230957E-8</v>
      </c>
      <c r="O13" s="181">
        <f>-(BS!N17-BS!M17-BS!N162)</f>
        <v>-5.9604644775390625E-8</v>
      </c>
      <c r="P13" s="181">
        <f>-(BS!O17-BS!N17-BS!O162)</f>
        <v>5.5879354476928711E-8</v>
      </c>
      <c r="Q13" s="181">
        <f>-(BS!P17-BS!O17-BS!P162)</f>
        <v>-3.7252902984619141E-8</v>
      </c>
      <c r="R13" s="181"/>
      <c r="S13" s="181">
        <f>-(BS!Q17-BS!P17-BS!Q162)</f>
        <v>-3.7252902984619141E-9</v>
      </c>
      <c r="T13" s="181">
        <f>-(BS!R17-BS!Q17-BS!R162)</f>
        <v>-1.1175870895385742E-8</v>
      </c>
      <c r="U13" s="181">
        <f>-(BS!S17-BS!R17-BS!S162)</f>
        <v>-1.4901161193847656E-8</v>
      </c>
      <c r="V13" s="181">
        <f>-(BS!T17-BS!S17-BS!T162)</f>
        <v>-4.0978193283081055E-8</v>
      </c>
      <c r="W13" s="181"/>
      <c r="X13" s="181">
        <f>-(BS!U17-BS!T17-BS!U162)</f>
        <v>-4.4703483581542969E-8</v>
      </c>
      <c r="Y13" s="181">
        <f>-(BS!V17-BS!U17-BS!V162)</f>
        <v>-1.4901161193847656E-8</v>
      </c>
      <c r="Z13" s="181">
        <f>-(BS!W17-BS!V17-BS!W162)</f>
        <v>-2.9802322387695313E-8</v>
      </c>
      <c r="AA13" s="181">
        <f>-(BS!X17-BS!W17-BS!X162)</f>
        <v>5.2154064178466797E-8</v>
      </c>
      <c r="AB13" s="181"/>
    </row>
    <row r="14" spans="1:28">
      <c r="B14" s="71" t="s">
        <v>343</v>
      </c>
      <c r="C14" s="71"/>
      <c r="D14" s="181">
        <f>-(BS!E16-BS!C16-BS!E168)</f>
        <v>0</v>
      </c>
      <c r="E14" s="181">
        <f>-(BS!F16-BS!E16-BS!F168)</f>
        <v>-250000000</v>
      </c>
      <c r="F14" s="181">
        <f>-(BS!G16-BS!F16-BS!G168)</f>
        <v>4.4703483581542969E-8</v>
      </c>
      <c r="G14" s="181">
        <f>-(BS!H16-BS!G16-BS!H168)</f>
        <v>7.4505805969238281E-8</v>
      </c>
      <c r="H14" s="181"/>
      <c r="I14" s="181">
        <f>-(BS!I16-BS!H16-BS!I168)</f>
        <v>-2.9802322387695313E-8</v>
      </c>
      <c r="J14" s="181">
        <f>-(BS!J16-BS!I16-BS!J168)</f>
        <v>-6.7055225372314453E-8</v>
      </c>
      <c r="K14" s="181">
        <f>-(BS!K16-BS!J16-BS!K168)</f>
        <v>-1.4901161193847656E-8</v>
      </c>
      <c r="L14" s="181">
        <f>-(BS!L16-BS!K16-BS!L168)</f>
        <v>5.9604644775390625E-8</v>
      </c>
      <c r="M14" s="181"/>
      <c r="N14" s="181">
        <f>-(BS!M16-BS!L16-BS!M168)</f>
        <v>1.0430812835693359E-7</v>
      </c>
      <c r="O14" s="181">
        <f>-(BS!N16-BS!M16-BS!N168)</f>
        <v>-4.4703483581542969E-8</v>
      </c>
      <c r="P14" s="181">
        <f>-(BS!O16-BS!N16-BS!O168)</f>
        <v>-2.9802322387695313E-8</v>
      </c>
      <c r="Q14" s="181">
        <f>-(BS!P16-BS!O16-BS!P168)</f>
        <v>-8.1956386566162109E-8</v>
      </c>
      <c r="R14" s="181"/>
      <c r="S14" s="181">
        <f>-(BS!Q16-BS!P16-BS!Q168)</f>
        <v>1.1920928955078125E-7</v>
      </c>
      <c r="T14" s="181">
        <f>-(BS!R16-BS!Q16-BS!R168)</f>
        <v>-8.9406967163085938E-8</v>
      </c>
      <c r="U14" s="181">
        <f>-(BS!S16-BS!R16-BS!S168)</f>
        <v>-2.2351741790771484E-8</v>
      </c>
      <c r="V14" s="181">
        <f>-(BS!T16-BS!S16-BS!T168)</f>
        <v>-2.9802322387695313E-8</v>
      </c>
      <c r="W14" s="181"/>
      <c r="X14" s="181">
        <f>-(BS!U16-BS!T16-BS!U168)</f>
        <v>-4.4703483581542969E-8</v>
      </c>
      <c r="Y14" s="181">
        <f>-(BS!V16-BS!U16-BS!V168)</f>
        <v>5.2154064178466797E-8</v>
      </c>
      <c r="Z14" s="181">
        <f>-(BS!W16-BS!V16-BS!W168)</f>
        <v>-7.4505805969238281E-9</v>
      </c>
      <c r="AA14" s="181">
        <f>-(BS!X16-BS!W16-BS!X168)</f>
        <v>-5.2154064178466797E-8</v>
      </c>
      <c r="AB14" s="181"/>
    </row>
    <row r="15" spans="1:28" s="183" customFormat="1">
      <c r="A15" s="1"/>
      <c r="B15" s="81" t="s">
        <v>322</v>
      </c>
      <c r="C15" s="81"/>
      <c r="D15" s="177">
        <f>SUM(D13:D14)</f>
        <v>-7.4505805969238281E-9</v>
      </c>
      <c r="E15" s="177">
        <f t="shared" ref="E15:AA15" si="3">SUM(E13:E14)</f>
        <v>-249999999.99999991</v>
      </c>
      <c r="F15" s="177">
        <f t="shared" si="3"/>
        <v>4.4703483581542969E-8</v>
      </c>
      <c r="G15" s="177">
        <f t="shared" si="3"/>
        <v>1.2665987014770508E-7</v>
      </c>
      <c r="H15" s="177"/>
      <c r="I15" s="177">
        <f t="shared" si="3"/>
        <v>2.2351741790771484E-8</v>
      </c>
      <c r="J15" s="177">
        <f t="shared" si="3"/>
        <v>-3.7252902984619141E-8</v>
      </c>
      <c r="K15" s="177">
        <f t="shared" si="3"/>
        <v>-2.9802322387695313E-8</v>
      </c>
      <c r="L15" s="177">
        <f t="shared" si="3"/>
        <v>2.9802322387695313E-8</v>
      </c>
      <c r="M15" s="177"/>
      <c r="N15" s="177">
        <f t="shared" si="3"/>
        <v>8.5681676864624023E-8</v>
      </c>
      <c r="O15" s="177">
        <f t="shared" si="3"/>
        <v>-1.0430812835693359E-7</v>
      </c>
      <c r="P15" s="177">
        <f t="shared" si="3"/>
        <v>2.6077032089233398E-8</v>
      </c>
      <c r="Q15" s="177">
        <f t="shared" si="3"/>
        <v>-1.1920928955078125E-7</v>
      </c>
      <c r="R15" s="177"/>
      <c r="S15" s="177">
        <f t="shared" si="3"/>
        <v>1.1548399925231934E-7</v>
      </c>
      <c r="T15" s="177">
        <f t="shared" si="3"/>
        <v>-1.0058283805847168E-7</v>
      </c>
      <c r="U15" s="177">
        <f t="shared" si="3"/>
        <v>-3.7252902984619141E-8</v>
      </c>
      <c r="V15" s="177">
        <f t="shared" si="3"/>
        <v>-7.0780515670776367E-8</v>
      </c>
      <c r="W15" s="177"/>
      <c r="X15" s="177">
        <f t="shared" si="3"/>
        <v>-8.9406967163085938E-8</v>
      </c>
      <c r="Y15" s="177">
        <f t="shared" si="3"/>
        <v>3.7252902984619141E-8</v>
      </c>
      <c r="Z15" s="177">
        <f t="shared" si="3"/>
        <v>-3.7252902984619141E-8</v>
      </c>
      <c r="AA15" s="177">
        <f t="shared" si="3"/>
        <v>0</v>
      </c>
      <c r="AB15" s="177"/>
    </row>
    <row r="16" spans="1:28">
      <c r="B16" s="65"/>
    </row>
    <row r="17" spans="1:28">
      <c r="A17" s="1" t="s">
        <v>367</v>
      </c>
      <c r="B17" s="64" t="s">
        <v>323</v>
      </c>
    </row>
    <row r="18" spans="1:28">
      <c r="B18" s="71" t="s">
        <v>324</v>
      </c>
      <c r="C18" s="71"/>
      <c r="D18" s="181">
        <f>BS!E37-BS!C37+BS!E39-BS!C39</f>
        <v>0</v>
      </c>
      <c r="E18" s="181">
        <f>BS!F37-BS!E37+BS!F39-BS!E39</f>
        <v>0</v>
      </c>
      <c r="F18" s="181">
        <f>BS!G37-BS!F37+BS!G39-BS!F39</f>
        <v>0</v>
      </c>
      <c r="G18" s="181">
        <f>BS!H37-BS!G37+BS!H39-BS!G39</f>
        <v>0</v>
      </c>
      <c r="H18" s="181"/>
      <c r="I18" s="181">
        <f>BS!I37-BS!H37+BS!I39-BS!H39</f>
        <v>0</v>
      </c>
      <c r="J18" s="181">
        <f>BS!J37-BS!I37+BS!J39-BS!I39</f>
        <v>0</v>
      </c>
      <c r="K18" s="181">
        <f>BS!K37-BS!J37+BS!K39-BS!J39</f>
        <v>0</v>
      </c>
      <c r="L18" s="181">
        <f>BS!L37-BS!K37+BS!L39-BS!K39</f>
        <v>0</v>
      </c>
      <c r="M18" s="181"/>
      <c r="N18" s="181">
        <f>BS!M37-BS!L37+BS!M39-BS!L39</f>
        <v>0</v>
      </c>
      <c r="O18" s="181">
        <f>BS!N37-BS!M37+BS!N39-BS!M39</f>
        <v>0</v>
      </c>
      <c r="P18" s="181">
        <f>BS!O37-BS!N37+BS!O39-BS!N39</f>
        <v>0</v>
      </c>
      <c r="Q18" s="181">
        <f>BS!P37-BS!O37+BS!P39-BS!O39</f>
        <v>0</v>
      </c>
      <c r="R18" s="181"/>
      <c r="S18" s="181">
        <f>BS!Q37-BS!P37+BS!Q39-BS!P39</f>
        <v>0</v>
      </c>
      <c r="T18" s="181">
        <f>BS!R37-BS!Q37+BS!R39-BS!Q39</f>
        <v>0</v>
      </c>
      <c r="U18" s="181">
        <f>BS!S37-BS!R37+BS!S39-BS!R39</f>
        <v>0</v>
      </c>
      <c r="V18" s="181">
        <f>BS!T37-BS!S37+BS!T39-BS!S39</f>
        <v>0</v>
      </c>
      <c r="W18" s="181"/>
      <c r="X18" s="181">
        <f>BS!U37-BS!T37+BS!U39-BS!T39</f>
        <v>0</v>
      </c>
      <c r="Y18" s="181">
        <f>BS!V37-BS!U37+BS!V39-BS!U39</f>
        <v>0</v>
      </c>
      <c r="Z18" s="181">
        <f>BS!W37-BS!V37+BS!W39-BS!V39</f>
        <v>0</v>
      </c>
      <c r="AA18" s="181">
        <f>BS!X37-BS!W37+BS!X39-BS!W39</f>
        <v>0</v>
      </c>
      <c r="AB18" s="181"/>
    </row>
    <row r="19" spans="1:28">
      <c r="B19" s="71" t="s">
        <v>325</v>
      </c>
      <c r="C19" s="71"/>
      <c r="D19" s="181">
        <f t="shared" ref="D19:AA19" si="4">-D8</f>
        <v>-93282407.088550001</v>
      </c>
      <c r="E19" s="181">
        <f t="shared" si="4"/>
        <v>-98489476.529953927</v>
      </c>
      <c r="F19" s="181">
        <f t="shared" si="4"/>
        <v>-95443825.996652558</v>
      </c>
      <c r="G19" s="181">
        <f t="shared" si="4"/>
        <v>-92434099.179217637</v>
      </c>
      <c r="H19" s="181"/>
      <c r="I19" s="181">
        <f t="shared" si="4"/>
        <v>-89457412.529193893</v>
      </c>
      <c r="J19" s="181">
        <f t="shared" si="4"/>
        <v>-86510959.438111961</v>
      </c>
      <c r="K19" s="181">
        <f t="shared" si="4"/>
        <v>-83592006.701036453</v>
      </c>
      <c r="L19" s="181">
        <f t="shared" si="4"/>
        <v>-21408071.292805173</v>
      </c>
      <c r="M19" s="181"/>
      <c r="N19" s="181">
        <f t="shared" si="4"/>
        <v>-20783038.517197251</v>
      </c>
      <c r="O19" s="181">
        <f t="shared" si="4"/>
        <v>-20148630.249955207</v>
      </c>
      <c r="P19" s="181">
        <f t="shared" si="4"/>
        <v>-19504705.858704533</v>
      </c>
      <c r="Q19" s="181">
        <f t="shared" si="4"/>
        <v>-18851122.601585105</v>
      </c>
      <c r="R19" s="181"/>
      <c r="S19" s="181">
        <f t="shared" si="4"/>
        <v>-18187735.595608883</v>
      </c>
      <c r="T19" s="181">
        <f t="shared" si="4"/>
        <v>-17514397.784543015</v>
      </c>
      <c r="U19" s="181">
        <f t="shared" si="4"/>
        <v>-16830959.906311162</v>
      </c>
      <c r="V19" s="181">
        <f t="shared" si="4"/>
        <v>-16137270.459905829</v>
      </c>
      <c r="W19" s="181"/>
      <c r="X19" s="181">
        <f t="shared" si="4"/>
        <v>-15433175.671804419</v>
      </c>
      <c r="Y19" s="181">
        <f t="shared" si="4"/>
        <v>-14718519.461881485</v>
      </c>
      <c r="Z19" s="181">
        <f t="shared" si="4"/>
        <v>-13993143.408809707</v>
      </c>
      <c r="AA19" s="181">
        <f t="shared" si="4"/>
        <v>-13256886.714941852</v>
      </c>
      <c r="AB19" s="181"/>
    </row>
    <row r="20" spans="1:28">
      <c r="B20" s="71" t="s">
        <v>338</v>
      </c>
      <c r="C20" s="71"/>
      <c r="D20" s="181">
        <f>BS!E31-BS!C31</f>
        <v>948599637.86684132</v>
      </c>
      <c r="E20" s="181">
        <f>BS!F31-BS!E31</f>
        <v>-73869545.051754951</v>
      </c>
      <c r="F20" s="181">
        <f>BS!G31-BS!F31</f>
        <v>-75245800.39291954</v>
      </c>
      <c r="G20" s="181">
        <f>BS!H31-BS!G31</f>
        <v>-76648734.337922573</v>
      </c>
      <c r="H20" s="181"/>
      <c r="I20" s="181">
        <f>BS!I31-BS!H31</f>
        <v>-78078882.848230839</v>
      </c>
      <c r="J20" s="181">
        <f>BS!J31-BS!I31</f>
        <v>-79536792.979836464</v>
      </c>
      <c r="K20" s="181">
        <f>BS!K31-BS!J31</f>
        <v>-1287090228.7324986</v>
      </c>
      <c r="L20" s="181">
        <f>BS!L31-BS!K31</f>
        <v>-41668851.707194805</v>
      </c>
      <c r="M20" s="181"/>
      <c r="N20" s="181">
        <f>BS!M31-BS!L31</f>
        <v>-42293884.482802868</v>
      </c>
      <c r="O20" s="181">
        <f>BS!N31-BS!M31</f>
        <v>-42928292.750044823</v>
      </c>
      <c r="P20" s="181">
        <f>BS!O31-BS!N31</f>
        <v>-43572217.141295433</v>
      </c>
      <c r="Q20" s="181">
        <f>BS!P31-BS!O31</f>
        <v>-44225800.39841485</v>
      </c>
      <c r="R20" s="181"/>
      <c r="S20" s="181">
        <f>BS!Q31-BS!P31</f>
        <v>-44889187.40439105</v>
      </c>
      <c r="T20" s="181">
        <f>BS!R31-BS!Q31</f>
        <v>-45562525.215456963</v>
      </c>
      <c r="U20" s="181">
        <f>BS!S31-BS!R31</f>
        <v>-46245963.093688726</v>
      </c>
      <c r="V20" s="181">
        <f>BS!T31-BS!S31</f>
        <v>-46939652.540094137</v>
      </c>
      <c r="W20" s="181"/>
      <c r="X20" s="181">
        <f>BS!U31-BS!T31</f>
        <v>-47643747.328195572</v>
      </c>
      <c r="Y20" s="181">
        <f>BS!V31-BS!U31</f>
        <v>-48358403.538118482</v>
      </c>
      <c r="Z20" s="181">
        <f>BS!W31-BS!V31</f>
        <v>-49083779.591190338</v>
      </c>
      <c r="AA20" s="181">
        <f>BS!X31-BS!W31</f>
        <v>-49820036.285058141</v>
      </c>
      <c r="AB20" s="181"/>
    </row>
    <row r="21" spans="1:28" s="183" customFormat="1">
      <c r="A21" s="1"/>
      <c r="B21" s="81" t="s">
        <v>326</v>
      </c>
      <c r="C21" s="81"/>
      <c r="D21" s="177">
        <f>SUM(D18:D20)</f>
        <v>855317230.77829134</v>
      </c>
      <c r="E21" s="177">
        <f t="shared" ref="E21:AA21" si="5">SUM(E18:E20)</f>
        <v>-172359021.58170888</v>
      </c>
      <c r="F21" s="177">
        <f t="shared" si="5"/>
        <v>-170689626.38957208</v>
      </c>
      <c r="G21" s="177">
        <f t="shared" si="5"/>
        <v>-169082833.51714021</v>
      </c>
      <c r="H21" s="177"/>
      <c r="I21" s="177">
        <f t="shared" si="5"/>
        <v>-167536295.37742472</v>
      </c>
      <c r="J21" s="177">
        <f t="shared" si="5"/>
        <v>-166047752.41794842</v>
      </c>
      <c r="K21" s="177">
        <f t="shared" si="5"/>
        <v>-1370682235.4335351</v>
      </c>
      <c r="L21" s="177">
        <f t="shared" si="5"/>
        <v>-63076922.999999978</v>
      </c>
      <c r="M21" s="177"/>
      <c r="N21" s="177">
        <f t="shared" si="5"/>
        <v>-63076923.000000119</v>
      </c>
      <c r="O21" s="177">
        <f t="shared" si="5"/>
        <v>-63076923.00000003</v>
      </c>
      <c r="P21" s="177">
        <f t="shared" si="5"/>
        <v>-63076922.99999997</v>
      </c>
      <c r="Q21" s="177">
        <f t="shared" si="5"/>
        <v>-63076922.999999955</v>
      </c>
      <c r="R21" s="177"/>
      <c r="S21" s="177">
        <f t="shared" si="5"/>
        <v>-63076922.999999933</v>
      </c>
      <c r="T21" s="177">
        <f t="shared" si="5"/>
        <v>-63076922.999999978</v>
      </c>
      <c r="U21" s="177">
        <f t="shared" si="5"/>
        <v>-63076922.999999888</v>
      </c>
      <c r="V21" s="177">
        <f t="shared" si="5"/>
        <v>-63076922.99999997</v>
      </c>
      <c r="W21" s="177"/>
      <c r="X21" s="177">
        <f t="shared" si="5"/>
        <v>-63076922.999999993</v>
      </c>
      <c r="Y21" s="177">
        <f t="shared" si="5"/>
        <v>-63076922.99999997</v>
      </c>
      <c r="Z21" s="177">
        <f t="shared" si="5"/>
        <v>-63076923.000000045</v>
      </c>
      <c r="AA21" s="177">
        <f t="shared" si="5"/>
        <v>-63076922.999999993</v>
      </c>
      <c r="AB21" s="177"/>
    </row>
    <row r="22" spans="1:28">
      <c r="B22" s="65"/>
    </row>
    <row r="23" spans="1:28">
      <c r="A23" s="1" t="s">
        <v>367</v>
      </c>
      <c r="B23" s="66" t="s">
        <v>327</v>
      </c>
    </row>
    <row r="24" spans="1:28">
      <c r="B24" s="71" t="s">
        <v>328</v>
      </c>
      <c r="C24" s="71"/>
      <c r="D24" s="181">
        <f>C26</f>
        <v>24920421.34</v>
      </c>
      <c r="E24" s="181">
        <f t="shared" ref="E24:AA24" si="6">D26</f>
        <v>1025267731.165738</v>
      </c>
      <c r="F24" s="181">
        <f t="shared" si="6"/>
        <v>1528963742.2865188</v>
      </c>
      <c r="G24" s="181">
        <f t="shared" si="6"/>
        <v>1116617969.4797335</v>
      </c>
      <c r="H24" s="181"/>
      <c r="I24" s="181">
        <f>G26</f>
        <v>1013279626.9102998</v>
      </c>
      <c r="J24" s="181">
        <f t="shared" si="6"/>
        <v>1733431044.1656194</v>
      </c>
      <c r="K24" s="181">
        <f t="shared" si="6"/>
        <v>2602617705.3381968</v>
      </c>
      <c r="L24" s="181">
        <f t="shared" si="6"/>
        <v>-4970650055.5417585</v>
      </c>
      <c r="M24" s="181"/>
      <c r="N24" s="181">
        <f>L26</f>
        <v>-1914949780.9272118</v>
      </c>
      <c r="O24" s="181">
        <f t="shared" si="6"/>
        <v>1018411333.5606546</v>
      </c>
      <c r="P24" s="181">
        <f t="shared" si="6"/>
        <v>3857424701.9686842</v>
      </c>
      <c r="Q24" s="181">
        <f t="shared" si="6"/>
        <v>-2802794374.4693031</v>
      </c>
      <c r="R24" s="181"/>
      <c r="S24" s="181">
        <f>Q26</f>
        <v>439527527.24751902</v>
      </c>
      <c r="T24" s="181">
        <f t="shared" si="6"/>
        <v>3546573429.4065666</v>
      </c>
      <c r="U24" s="181">
        <f t="shared" si="6"/>
        <v>6532004201.5040417</v>
      </c>
      <c r="V24" s="181">
        <f t="shared" si="6"/>
        <v>-671406709.12008476</v>
      </c>
      <c r="W24" s="181"/>
      <c r="X24" s="181">
        <f>V26</f>
        <v>2843177901.4194088</v>
      </c>
      <c r="Y24" s="181">
        <f t="shared" si="6"/>
        <v>6063536215.8423033</v>
      </c>
      <c r="Z24" s="181">
        <f t="shared" si="6"/>
        <v>9319929416.1191044</v>
      </c>
      <c r="AA24" s="181">
        <f t="shared" si="6"/>
        <v>1540174540.7541742</v>
      </c>
      <c r="AB24" s="181"/>
    </row>
    <row r="25" spans="1:28">
      <c r="B25" s="71" t="s">
        <v>329</v>
      </c>
      <c r="C25" s="71"/>
      <c r="D25" s="181">
        <f t="shared" ref="D25:AA25" si="7">D21+D15+D10</f>
        <v>1000347309.825738</v>
      </c>
      <c r="E25" s="181">
        <f t="shared" si="7"/>
        <v>503696011.12078083</v>
      </c>
      <c r="F25" s="181">
        <f t="shared" si="7"/>
        <v>-412345772.80678546</v>
      </c>
      <c r="G25" s="181">
        <f t="shared" si="7"/>
        <v>-103338342.56943363</v>
      </c>
      <c r="H25" s="181"/>
      <c r="I25" s="181">
        <f>I21+I15+I10</f>
        <v>720151417.2553196</v>
      </c>
      <c r="J25" s="181">
        <f t="shared" si="7"/>
        <v>869186661.17257738</v>
      </c>
      <c r="K25" s="181">
        <f t="shared" si="7"/>
        <v>-7573267760.8799553</v>
      </c>
      <c r="L25" s="181">
        <f t="shared" si="7"/>
        <v>3055700274.6145468</v>
      </c>
      <c r="M25" s="181"/>
      <c r="N25" s="181">
        <f t="shared" si="7"/>
        <v>2933361114.4878664</v>
      </c>
      <c r="O25" s="181">
        <f t="shared" si="7"/>
        <v>2839013368.4080296</v>
      </c>
      <c r="P25" s="181">
        <f t="shared" si="7"/>
        <v>-6660219076.4379873</v>
      </c>
      <c r="Q25" s="181">
        <f t="shared" si="7"/>
        <v>3242321901.7168221</v>
      </c>
      <c r="R25" s="181"/>
      <c r="S25" s="181">
        <f t="shared" si="7"/>
        <v>3107045902.1590476</v>
      </c>
      <c r="T25" s="181">
        <f t="shared" si="7"/>
        <v>2985430772.0974751</v>
      </c>
      <c r="U25" s="181">
        <f t="shared" si="7"/>
        <v>-7203410910.6241264</v>
      </c>
      <c r="V25" s="181">
        <f t="shared" si="7"/>
        <v>3514584610.5394936</v>
      </c>
      <c r="W25" s="181"/>
      <c r="X25" s="181">
        <f t="shared" si="7"/>
        <v>3220358314.4228945</v>
      </c>
      <c r="Y25" s="181">
        <f t="shared" si="7"/>
        <v>3256393200.2768016</v>
      </c>
      <c r="Z25" s="181">
        <f t="shared" si="7"/>
        <v>-7779754875.3649302</v>
      </c>
      <c r="AA25" s="181">
        <f t="shared" si="7"/>
        <v>3813309766.68957</v>
      </c>
      <c r="AB25" s="181"/>
    </row>
    <row r="26" spans="1:28" s="183" customFormat="1">
      <c r="A26" s="1"/>
      <c r="B26" s="81" t="s">
        <v>330</v>
      </c>
      <c r="C26" s="95">
        <f>BS!C8</f>
        <v>24920421.34</v>
      </c>
      <c r="D26" s="177">
        <f>SUM(D24:D25)</f>
        <v>1025267731.165738</v>
      </c>
      <c r="E26" s="177">
        <f t="shared" ref="E26:AA26" si="8">SUM(E24:E25)</f>
        <v>1528963742.2865188</v>
      </c>
      <c r="F26" s="177">
        <f t="shared" si="8"/>
        <v>1116617969.4797335</v>
      </c>
      <c r="G26" s="177">
        <f t="shared" si="8"/>
        <v>1013279626.9102998</v>
      </c>
      <c r="H26" s="177"/>
      <c r="I26" s="177">
        <f>SUM(I24:I25)</f>
        <v>1733431044.1656194</v>
      </c>
      <c r="J26" s="177">
        <f t="shared" si="8"/>
        <v>2602617705.3381968</v>
      </c>
      <c r="K26" s="177">
        <f t="shared" si="8"/>
        <v>-4970650055.5417585</v>
      </c>
      <c r="L26" s="177">
        <f t="shared" si="8"/>
        <v>-1914949780.9272118</v>
      </c>
      <c r="M26" s="177"/>
      <c r="N26" s="177">
        <f t="shared" si="8"/>
        <v>1018411333.5606546</v>
      </c>
      <c r="O26" s="177">
        <f t="shared" si="8"/>
        <v>3857424701.9686842</v>
      </c>
      <c r="P26" s="177">
        <f t="shared" si="8"/>
        <v>-2802794374.4693031</v>
      </c>
      <c r="Q26" s="177">
        <f t="shared" si="8"/>
        <v>439527527.24751902</v>
      </c>
      <c r="R26" s="177"/>
      <c r="S26" s="177">
        <f t="shared" si="8"/>
        <v>3546573429.4065666</v>
      </c>
      <c r="T26" s="177">
        <f t="shared" si="8"/>
        <v>6532004201.5040417</v>
      </c>
      <c r="U26" s="177">
        <f t="shared" si="8"/>
        <v>-671406709.12008476</v>
      </c>
      <c r="V26" s="177">
        <f t="shared" si="8"/>
        <v>2843177901.4194088</v>
      </c>
      <c r="W26" s="177"/>
      <c r="X26" s="177">
        <f t="shared" si="8"/>
        <v>6063536215.8423033</v>
      </c>
      <c r="Y26" s="177">
        <f t="shared" si="8"/>
        <v>9319929416.1191044</v>
      </c>
      <c r="Z26" s="177">
        <f t="shared" si="8"/>
        <v>1540174540.7541742</v>
      </c>
      <c r="AA26" s="177">
        <f t="shared" si="8"/>
        <v>5353484307.4437447</v>
      </c>
      <c r="AB26" s="177"/>
    </row>
    <row r="27" spans="1:28">
      <c r="B27" s="65"/>
    </row>
    <row r="28" spans="1:28">
      <c r="B28" s="67"/>
      <c r="C28" s="71">
        <f>MIN(C26:AA26)</f>
        <v>-4970650055.5417585</v>
      </c>
    </row>
    <row r="29" spans="1:28">
      <c r="B29" s="67" t="s">
        <v>331</v>
      </c>
      <c r="C29" s="71"/>
    </row>
    <row r="30" spans="1:28">
      <c r="B30" s="67" t="s">
        <v>332</v>
      </c>
      <c r="C30" s="71"/>
    </row>
    <row r="31" spans="1:28">
      <c r="B31" s="67" t="s">
        <v>333</v>
      </c>
      <c r="C31" s="71"/>
    </row>
    <row r="32" spans="1:28">
      <c r="B32" s="67"/>
      <c r="C32" s="71"/>
    </row>
    <row r="33" spans="1:3">
      <c r="A33" s="1" t="s">
        <v>367</v>
      </c>
      <c r="B33" s="120" t="s">
        <v>431</v>
      </c>
      <c r="C33" s="71"/>
    </row>
    <row r="34" spans="1:3">
      <c r="B34" s="67" t="s">
        <v>411</v>
      </c>
      <c r="C34" s="71">
        <f>-E14</f>
        <v>250000000</v>
      </c>
    </row>
    <row r="35" spans="1:3">
      <c r="B35" s="67" t="s">
        <v>425</v>
      </c>
      <c r="C35" s="71">
        <v>100000000</v>
      </c>
    </row>
    <row r="36" spans="1:3">
      <c r="B36" s="120" t="s">
        <v>162</v>
      </c>
      <c r="C36" s="71">
        <f>SUM(C34:C35)</f>
        <v>350000000</v>
      </c>
    </row>
    <row r="37" spans="1:3">
      <c r="C37" s="71"/>
    </row>
    <row r="38" spans="1:3">
      <c r="A38" s="1" t="s">
        <v>367</v>
      </c>
      <c r="B38" s="1" t="s">
        <v>453</v>
      </c>
      <c r="C38" s="71"/>
    </row>
    <row r="39" spans="1:3">
      <c r="B39" t="s">
        <v>405</v>
      </c>
      <c r="C39" s="71">
        <f>-K9</f>
        <v>6756836479.7830582</v>
      </c>
    </row>
    <row r="40" spans="1:3">
      <c r="B40" t="s">
        <v>406</v>
      </c>
      <c r="C40" s="71">
        <f>-SUM(K13:K14)</f>
        <v>2.9802322387695313E-8</v>
      </c>
    </row>
    <row r="41" spans="1:3">
      <c r="B41" t="s">
        <v>407</v>
      </c>
      <c r="C41" s="71">
        <f>-SUM(K20)</f>
        <v>1287090228.7324986</v>
      </c>
    </row>
    <row r="42" spans="1:3">
      <c r="B42" s="1" t="s">
        <v>410</v>
      </c>
      <c r="C42" s="71">
        <f>SUM(C39:C41)</f>
        <v>8043926708.5155563</v>
      </c>
    </row>
    <row r="43" spans="1:3">
      <c r="C43" s="71"/>
    </row>
    <row r="44" spans="1:3">
      <c r="B44" t="s">
        <v>408</v>
      </c>
      <c r="C44" s="71">
        <f>K24+K6+K7</f>
        <v>3073276652.9737983</v>
      </c>
    </row>
    <row r="45" spans="1:3">
      <c r="A45" s="1" t="s">
        <v>367</v>
      </c>
      <c r="B45" s="1" t="s">
        <v>409</v>
      </c>
      <c r="C45" s="71">
        <f>SUM(C39:C41)-C44</f>
        <v>4970650055.5417576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5F56-096B-6F49-830C-FC98C6D68B60}">
  <sheetPr>
    <tabColor theme="4"/>
  </sheetPr>
  <dimension ref="A1:AG55"/>
  <sheetViews>
    <sheetView showGridLines="0" zoomScaleNormal="100" workbookViewId="0">
      <pane xSplit="2" ySplit="3" topLeftCell="M4" activePane="bottomRight" state="frozen"/>
      <selection activeCell="H41" sqref="H41"/>
      <selection pane="topRight" activeCell="H41" sqref="H41"/>
      <selection pane="bottomLeft" activeCell="H41" sqref="H41"/>
      <selection pane="bottomRight"/>
    </sheetView>
  </sheetViews>
  <sheetFormatPr defaultColWidth="0" defaultRowHeight="13.8" outlineLevelRow="1"/>
  <cols>
    <col min="1" max="1" width="4.109375" style="53" bestFit="1" customWidth="1"/>
    <col min="2" max="2" width="35.6640625" style="53" bestFit="1" customWidth="1"/>
    <col min="3" max="3" width="13.109375" style="53" bestFit="1" customWidth="1"/>
    <col min="4" max="4" width="10.109375" style="53" bestFit="1" customWidth="1"/>
    <col min="5" max="8" width="21.6640625" style="53" bestFit="1" customWidth="1"/>
    <col min="9" max="9" width="5.109375" style="53" customWidth="1"/>
    <col min="10" max="13" width="21.6640625" style="53" bestFit="1" customWidth="1"/>
    <col min="14" max="14" width="2.6640625" style="53" customWidth="1"/>
    <col min="15" max="17" width="21.6640625" style="53" bestFit="1" customWidth="1"/>
    <col min="18" max="18" width="21.6640625" style="53" customWidth="1"/>
    <col min="19" max="19" width="4.77734375" style="53" customWidth="1"/>
    <col min="20" max="23" width="21.6640625" style="53" bestFit="1" customWidth="1"/>
    <col min="24" max="24" width="3.109375" style="53" customWidth="1"/>
    <col min="25" max="28" width="21.6640625" style="53" bestFit="1" customWidth="1"/>
    <col min="29" max="29" width="4" style="53" customWidth="1"/>
    <col min="30" max="32" width="10.6640625" style="53" hidden="1" customWidth="1"/>
    <col min="33" max="33" width="11" style="53" hidden="1" customWidth="1"/>
    <col min="34" max="16384" width="10.6640625" style="53" hidden="1"/>
  </cols>
  <sheetData>
    <row r="1" spans="1:33" s="51" customFormat="1">
      <c r="B1" s="80" t="s">
        <v>60</v>
      </c>
      <c r="C1" s="80"/>
      <c r="D1" s="80"/>
      <c r="E1" s="81">
        <v>0</v>
      </c>
      <c r="F1" s="81">
        <v>0</v>
      </c>
      <c r="G1" s="81">
        <f>330/4</f>
        <v>82.5</v>
      </c>
      <c r="H1" s="81">
        <f>330/4</f>
        <v>82.5</v>
      </c>
      <c r="I1" s="81"/>
      <c r="J1" s="81">
        <f>H1</f>
        <v>82.5</v>
      </c>
      <c r="K1" s="81">
        <f>J1</f>
        <v>82.5</v>
      </c>
      <c r="L1" s="81">
        <f>G1</f>
        <v>82.5</v>
      </c>
      <c r="M1" s="81">
        <f>H1</f>
        <v>82.5</v>
      </c>
      <c r="N1" s="81"/>
      <c r="O1" s="81">
        <f>J1</f>
        <v>82.5</v>
      </c>
      <c r="P1" s="81">
        <f>K1</f>
        <v>82.5</v>
      </c>
      <c r="Q1" s="81">
        <f>L1</f>
        <v>82.5</v>
      </c>
      <c r="R1" s="81">
        <f>M1</f>
        <v>82.5</v>
      </c>
      <c r="S1" s="81"/>
      <c r="T1" s="81">
        <f>O1</f>
        <v>82.5</v>
      </c>
      <c r="U1" s="81">
        <f>P1</f>
        <v>82.5</v>
      </c>
      <c r="V1" s="81">
        <f>Q1</f>
        <v>82.5</v>
      </c>
      <c r="W1" s="81">
        <f>R1</f>
        <v>82.5</v>
      </c>
      <c r="X1" s="81"/>
      <c r="Y1" s="81">
        <f>T1</f>
        <v>82.5</v>
      </c>
      <c r="Z1" s="81">
        <f>U1</f>
        <v>82.5</v>
      </c>
      <c r="AA1" s="81">
        <f>V1</f>
        <v>82.5</v>
      </c>
      <c r="AB1" s="81">
        <f>W1</f>
        <v>82.5</v>
      </c>
      <c r="AC1" s="81"/>
    </row>
    <row r="2" spans="1:33" s="143" customFormat="1" ht="10.199999999999999">
      <c r="B2" s="142" t="s">
        <v>58</v>
      </c>
      <c r="C2" s="142"/>
      <c r="D2" s="142"/>
      <c r="E2" s="142">
        <v>1</v>
      </c>
      <c r="F2" s="142">
        <f t="shared" ref="F2:AB2" si="0">E2+1</f>
        <v>2</v>
      </c>
      <c r="G2" s="142">
        <f t="shared" si="0"/>
        <v>3</v>
      </c>
      <c r="H2" s="142">
        <f t="shared" si="0"/>
        <v>4</v>
      </c>
      <c r="I2" s="142"/>
      <c r="J2" s="142">
        <f>H2+1</f>
        <v>5</v>
      </c>
      <c r="K2" s="142">
        <f t="shared" si="0"/>
        <v>6</v>
      </c>
      <c r="L2" s="142">
        <f t="shared" si="0"/>
        <v>7</v>
      </c>
      <c r="M2" s="142">
        <f t="shared" si="0"/>
        <v>8</v>
      </c>
      <c r="N2" s="142"/>
      <c r="O2" s="142">
        <f>M2+1</f>
        <v>9</v>
      </c>
      <c r="P2" s="142">
        <f t="shared" si="0"/>
        <v>10</v>
      </c>
      <c r="Q2" s="142">
        <f t="shared" si="0"/>
        <v>11</v>
      </c>
      <c r="R2" s="142">
        <f t="shared" si="0"/>
        <v>12</v>
      </c>
      <c r="S2" s="142"/>
      <c r="T2" s="142">
        <f>R2+1</f>
        <v>13</v>
      </c>
      <c r="U2" s="142">
        <f t="shared" si="0"/>
        <v>14</v>
      </c>
      <c r="V2" s="142">
        <f t="shared" si="0"/>
        <v>15</v>
      </c>
      <c r="W2" s="142">
        <f>V2+1</f>
        <v>16</v>
      </c>
      <c r="X2" s="142"/>
      <c r="Y2" s="142">
        <f>W2+1</f>
        <v>17</v>
      </c>
      <c r="Z2" s="142">
        <f t="shared" si="0"/>
        <v>18</v>
      </c>
      <c r="AA2" s="142">
        <f t="shared" si="0"/>
        <v>19</v>
      </c>
      <c r="AB2" s="142">
        <f t="shared" si="0"/>
        <v>20</v>
      </c>
      <c r="AC2" s="142"/>
    </row>
    <row r="3" spans="1:33" s="51" customFormat="1">
      <c r="B3" s="81" t="s">
        <v>59</v>
      </c>
      <c r="C3" s="80"/>
      <c r="D3" s="80"/>
      <c r="E3" s="82">
        <v>45838</v>
      </c>
      <c r="F3" s="83">
        <f>EOMONTH(E3,3)</f>
        <v>45930</v>
      </c>
      <c r="G3" s="83">
        <f>EOMONTH(F3,3)</f>
        <v>46022</v>
      </c>
      <c r="H3" s="83">
        <f>EDATE(G3,3)</f>
        <v>46112</v>
      </c>
      <c r="I3" s="107" t="s">
        <v>375</v>
      </c>
      <c r="J3" s="83">
        <f>EOMONTH(H3,3)</f>
        <v>46203</v>
      </c>
      <c r="K3" s="83">
        <f>EOMONTH(J3,3)</f>
        <v>46295</v>
      </c>
      <c r="L3" s="83">
        <f>EOMONTH(K3,3)</f>
        <v>46387</v>
      </c>
      <c r="M3" s="83">
        <f>EDATE(L3,3)</f>
        <v>46477</v>
      </c>
      <c r="N3" s="107" t="s">
        <v>376</v>
      </c>
      <c r="O3" s="83">
        <f>EOMONTH(M3,3)</f>
        <v>46568</v>
      </c>
      <c r="P3" s="83">
        <f>EOMONTH(O3,3)</f>
        <v>46660</v>
      </c>
      <c r="Q3" s="83">
        <f>EOMONTH(P3,3)</f>
        <v>46752</v>
      </c>
      <c r="R3" s="83">
        <f>EOMONTH(Q3,3)</f>
        <v>46843</v>
      </c>
      <c r="S3" s="107" t="s">
        <v>377</v>
      </c>
      <c r="T3" s="83">
        <f>EOMONTH(R3,3)</f>
        <v>46934</v>
      </c>
      <c r="U3" s="83">
        <f>EOMONTH(T3,3)</f>
        <v>47026</v>
      </c>
      <c r="V3" s="83">
        <f>EOMONTH(U3,3)</f>
        <v>47118</v>
      </c>
      <c r="W3" s="83">
        <f>EOMONTH(V3,3)</f>
        <v>47208</v>
      </c>
      <c r="X3" s="83" t="s">
        <v>378</v>
      </c>
      <c r="Y3" s="83">
        <f>EOMONTH(W3,3)</f>
        <v>47299</v>
      </c>
      <c r="Z3" s="83">
        <f>EOMONTH(Y3,3)</f>
        <v>47391</v>
      </c>
      <c r="AA3" s="83">
        <f>EOMONTH(Z3,3)</f>
        <v>47483</v>
      </c>
      <c r="AB3" s="83">
        <f>EDATE(AA3,3)</f>
        <v>47573</v>
      </c>
      <c r="AC3" s="83" t="s">
        <v>379</v>
      </c>
    </row>
    <row r="4" spans="1:33" s="51" customFormat="1">
      <c r="AF4" s="51">
        <v>72</v>
      </c>
      <c r="AG4" s="51">
        <f>AF4*AE4</f>
        <v>0</v>
      </c>
    </row>
    <row r="5" spans="1:33" s="52" customFormat="1" outlineLevel="1">
      <c r="A5" s="52" t="s">
        <v>367</v>
      </c>
      <c r="B5" s="56" t="s">
        <v>65</v>
      </c>
      <c r="C5" s="162">
        <v>0.6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E5" s="52">
        <v>280</v>
      </c>
      <c r="AF5" s="52">
        <v>14</v>
      </c>
      <c r="AG5" s="52">
        <f>AF5*AE5</f>
        <v>3920</v>
      </c>
    </row>
    <row r="6" spans="1:33" s="51" customFormat="1" outlineLevel="1">
      <c r="B6" s="53" t="s">
        <v>68</v>
      </c>
      <c r="C6" s="54" t="s">
        <v>368</v>
      </c>
      <c r="D6" s="54"/>
      <c r="E6" s="55">
        <f>E14/56.82%</f>
        <v>0</v>
      </c>
      <c r="F6" s="55">
        <f>F14/56.82%</f>
        <v>0</v>
      </c>
      <c r="G6" s="55">
        <f>G14/56.82%</f>
        <v>51544.350580781414</v>
      </c>
      <c r="H6" s="55">
        <f>H14/56.82%</f>
        <v>51544.350580781414</v>
      </c>
      <c r="I6" s="55"/>
      <c r="J6" s="55">
        <f>J14/56.82%</f>
        <v>51544.350580781414</v>
      </c>
      <c r="K6" s="55">
        <f>K14/56.82%</f>
        <v>51544.350580781414</v>
      </c>
      <c r="L6" s="55">
        <f>L14/56.82%</f>
        <v>52996.304118268214</v>
      </c>
      <c r="M6" s="55">
        <f>M14/56.82%</f>
        <v>52996.304118268214</v>
      </c>
      <c r="N6" s="55"/>
      <c r="O6" s="55">
        <f>O14/56.82%</f>
        <v>52996.304118268214</v>
      </c>
      <c r="P6" s="55">
        <f>P14/56.82%</f>
        <v>52996.304118268214</v>
      </c>
      <c r="Q6" s="55">
        <f>Q14/56.82%</f>
        <v>54448.257655755013</v>
      </c>
      <c r="R6" s="55">
        <f>R14/56.82%</f>
        <v>54448.257655755013</v>
      </c>
      <c r="S6" s="55"/>
      <c r="T6" s="55">
        <f>T14/56.82%</f>
        <v>54448.257655755013</v>
      </c>
      <c r="U6" s="55">
        <f>U14/56.82%</f>
        <v>54448.257655755013</v>
      </c>
      <c r="V6" s="55">
        <f>V14/56.82%</f>
        <v>55900.211193241812</v>
      </c>
      <c r="W6" s="55">
        <f>W14/56.82%</f>
        <v>55900.211193241812</v>
      </c>
      <c r="X6" s="55"/>
      <c r="Y6" s="55">
        <f>Y14/56.82%</f>
        <v>55900.211193241812</v>
      </c>
      <c r="Z6" s="55">
        <f>Z14/56.82%</f>
        <v>55900.211193241812</v>
      </c>
      <c r="AA6" s="55">
        <f>AA14/56.82%</f>
        <v>57352.164730728611</v>
      </c>
      <c r="AB6" s="55">
        <f>AB14/56.82%</f>
        <v>57352.164730728611</v>
      </c>
      <c r="AC6" s="55"/>
    </row>
    <row r="7" spans="1:33" s="51" customFormat="1" outlineLevel="1">
      <c r="B7" s="53" t="str">
        <f>B5</f>
        <v>Corn Consumpton</v>
      </c>
      <c r="C7" s="54"/>
      <c r="D7" s="54"/>
      <c r="E7" s="55">
        <f>(E6/$C5)/E11</f>
        <v>0</v>
      </c>
      <c r="F7" s="55">
        <f>(F6/$C5)/F11</f>
        <v>0</v>
      </c>
      <c r="G7" s="55">
        <f>(G6/$C5)/G11</f>
        <v>91390.692519115997</v>
      </c>
      <c r="H7" s="55">
        <f>(H6/$C5)/H11</f>
        <v>91390.692519115997</v>
      </c>
      <c r="I7" s="55"/>
      <c r="J7" s="55">
        <f>(J6/$C5)/J11</f>
        <v>91390.692519115997</v>
      </c>
      <c r="K7" s="55">
        <f>(K6/$C5)/K11</f>
        <v>91390.692519115997</v>
      </c>
      <c r="L7" s="55">
        <f>(L6/$C5)/L11</f>
        <v>93965.078223879813</v>
      </c>
      <c r="M7" s="55">
        <f>(M6/$C5)/M11</f>
        <v>93965.078223879813</v>
      </c>
      <c r="N7" s="55"/>
      <c r="O7" s="55">
        <f>(O6/$C5)/O11</f>
        <v>93965.078223879813</v>
      </c>
      <c r="P7" s="55">
        <f>(P6/$C5)/P11</f>
        <v>93965.078223879813</v>
      </c>
      <c r="Q7" s="55">
        <f>(Q6/$C5)/Q11</f>
        <v>96539.463928643658</v>
      </c>
      <c r="R7" s="55">
        <f>(R6/$C5)/R11</f>
        <v>96539.463928643658</v>
      </c>
      <c r="S7" s="55"/>
      <c r="T7" s="55">
        <f>(T6/$C5)/T11</f>
        <v>96539.463928643658</v>
      </c>
      <c r="U7" s="55">
        <f>(U6/$C5)/U11</f>
        <v>96539.463928643658</v>
      </c>
      <c r="V7" s="55">
        <f>(V6/$C5)/V11</f>
        <v>99113.849633407473</v>
      </c>
      <c r="W7" s="55">
        <f>(W6/$C5)/W11</f>
        <v>99113.849633407473</v>
      </c>
      <c r="X7" s="55"/>
      <c r="Y7" s="55">
        <f>(Y6/$C5)/Y11</f>
        <v>99113.849633407473</v>
      </c>
      <c r="Z7" s="55">
        <f>(Z6/$C5)/Z11</f>
        <v>99113.849633407473</v>
      </c>
      <c r="AA7" s="55">
        <f>(AA6/$C5)/AA11</f>
        <v>101688.2353381713</v>
      </c>
      <c r="AB7" s="55">
        <f>(AB6/$C5)/AB11</f>
        <v>101688.2353381713</v>
      </c>
      <c r="AC7" s="55"/>
    </row>
    <row r="8" spans="1:33" s="51" customFormat="1" outlineLevel="1">
      <c r="B8" s="53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</row>
    <row r="9" spans="1:33" outlineLevel="1">
      <c r="B9" s="53" t="s">
        <v>454</v>
      </c>
      <c r="E9" s="54">
        <f>350/400</f>
        <v>0.875</v>
      </c>
      <c r="F9" s="54">
        <f>E9</f>
        <v>0.875</v>
      </c>
      <c r="G9" s="54">
        <f>(355/400)</f>
        <v>0.88749999999999996</v>
      </c>
      <c r="H9" s="54">
        <f>(355/400)</f>
        <v>0.88749999999999996</v>
      </c>
      <c r="J9" s="58">
        <f>G9</f>
        <v>0.88749999999999996</v>
      </c>
      <c r="K9" s="58">
        <f>H9</f>
        <v>0.88749999999999996</v>
      </c>
      <c r="L9" s="54">
        <f>(365/400)</f>
        <v>0.91249999999999998</v>
      </c>
      <c r="M9" s="54">
        <f>L9</f>
        <v>0.91249999999999998</v>
      </c>
      <c r="O9" s="58">
        <f>L9</f>
        <v>0.91249999999999998</v>
      </c>
      <c r="P9" s="58">
        <f>M9</f>
        <v>0.91249999999999998</v>
      </c>
      <c r="Q9" s="54">
        <f>(375/400)</f>
        <v>0.9375</v>
      </c>
      <c r="R9" s="54">
        <f>(375/400)</f>
        <v>0.9375</v>
      </c>
      <c r="T9" s="58">
        <f>Q9</f>
        <v>0.9375</v>
      </c>
      <c r="U9" s="58">
        <f>R9</f>
        <v>0.9375</v>
      </c>
      <c r="V9" s="54">
        <f>(385/400)</f>
        <v>0.96250000000000002</v>
      </c>
      <c r="W9" s="54">
        <f>(385/400)</f>
        <v>0.96250000000000002</v>
      </c>
      <c r="Y9" s="58">
        <f>V9</f>
        <v>0.96250000000000002</v>
      </c>
      <c r="Z9" s="58">
        <f>W9</f>
        <v>0.96250000000000002</v>
      </c>
      <c r="AA9" s="54">
        <f>(395/400)</f>
        <v>0.98750000000000004</v>
      </c>
      <c r="AB9" s="54">
        <f>(395/400)</f>
        <v>0.98750000000000004</v>
      </c>
    </row>
    <row r="10" spans="1:33" s="51" customFormat="1" outlineLevel="1">
      <c r="B10" s="56" t="s">
        <v>64</v>
      </c>
      <c r="C10" s="57">
        <v>400</v>
      </c>
      <c r="D10" s="53" t="s">
        <v>63</v>
      </c>
      <c r="E10" s="57">
        <f>$C10*E1*E9</f>
        <v>0</v>
      </c>
      <c r="F10" s="57">
        <f>$C10*F1*F9</f>
        <v>0</v>
      </c>
      <c r="G10" s="57">
        <f>$C10*G1*G9</f>
        <v>29287.5</v>
      </c>
      <c r="H10" s="57">
        <f>$C10*H1*H9</f>
        <v>29287.5</v>
      </c>
      <c r="I10" s="57"/>
      <c r="J10" s="57">
        <f>$C10*J1*J9</f>
        <v>29287.5</v>
      </c>
      <c r="K10" s="57">
        <f>$C10*K1*K9</f>
        <v>29287.5</v>
      </c>
      <c r="L10" s="57">
        <f>$C10*L1*L9</f>
        <v>30112.5</v>
      </c>
      <c r="M10" s="57">
        <f>$C10*M1*M9</f>
        <v>30112.5</v>
      </c>
      <c r="N10" s="57"/>
      <c r="O10" s="57">
        <f>$C10*O1*O9</f>
        <v>30112.5</v>
      </c>
      <c r="P10" s="57">
        <f>$C10*P1*P9</f>
        <v>30112.5</v>
      </c>
      <c r="Q10" s="57">
        <f>$C10*Q1*Q9</f>
        <v>30937.5</v>
      </c>
      <c r="R10" s="57">
        <f>$C10*R1*R9</f>
        <v>30937.5</v>
      </c>
      <c r="S10" s="57"/>
      <c r="T10" s="57">
        <f>$C10*T1*T9</f>
        <v>30937.5</v>
      </c>
      <c r="U10" s="57">
        <f>$C10*U1*U9</f>
        <v>30937.5</v>
      </c>
      <c r="V10" s="57">
        <f>$C10*V1*V9</f>
        <v>31762.5</v>
      </c>
      <c r="W10" s="57">
        <f>$C10*W1*W9</f>
        <v>31762.5</v>
      </c>
      <c r="X10" s="57"/>
      <c r="Y10" s="57">
        <f>$C10*Y1*Y9</f>
        <v>31762.5</v>
      </c>
      <c r="Z10" s="57">
        <f>$C10*Z1*Z9</f>
        <v>31762.5</v>
      </c>
      <c r="AA10" s="57">
        <f>$C10*AA1*AA9</f>
        <v>32587.5</v>
      </c>
      <c r="AB10" s="57">
        <f>$C10*AB1*AB9</f>
        <v>32587.5</v>
      </c>
      <c r="AC10" s="57"/>
    </row>
    <row r="11" spans="1:33" s="51" customFormat="1" outlineLevel="1">
      <c r="B11" s="56" t="s">
        <v>61</v>
      </c>
      <c r="C11" s="54">
        <v>0.94</v>
      </c>
      <c r="D11" s="53"/>
      <c r="E11" s="54">
        <f>$C$11</f>
        <v>0.94</v>
      </c>
      <c r="F11" s="54">
        <f>$C$11</f>
        <v>0.94</v>
      </c>
      <c r="G11" s="54">
        <f>$C$11</f>
        <v>0.94</v>
      </c>
      <c r="H11" s="54">
        <f t="shared" ref="H11:AB11" si="1">$C$11</f>
        <v>0.94</v>
      </c>
      <c r="I11" s="54"/>
      <c r="J11" s="54">
        <f t="shared" si="1"/>
        <v>0.94</v>
      </c>
      <c r="K11" s="54">
        <f t="shared" si="1"/>
        <v>0.94</v>
      </c>
      <c r="L11" s="54">
        <f t="shared" si="1"/>
        <v>0.94</v>
      </c>
      <c r="M11" s="54">
        <f t="shared" si="1"/>
        <v>0.94</v>
      </c>
      <c r="N11" s="54"/>
      <c r="O11" s="54">
        <f t="shared" si="1"/>
        <v>0.94</v>
      </c>
      <c r="P11" s="54">
        <f t="shared" si="1"/>
        <v>0.94</v>
      </c>
      <c r="Q11" s="54">
        <f t="shared" si="1"/>
        <v>0.94</v>
      </c>
      <c r="R11" s="54">
        <f t="shared" si="1"/>
        <v>0.94</v>
      </c>
      <c r="S11" s="54"/>
      <c r="T11" s="54">
        <f t="shared" si="1"/>
        <v>0.94</v>
      </c>
      <c r="U11" s="54">
        <f t="shared" si="1"/>
        <v>0.94</v>
      </c>
      <c r="V11" s="54">
        <f t="shared" si="1"/>
        <v>0.94</v>
      </c>
      <c r="W11" s="54">
        <f t="shared" si="1"/>
        <v>0.94</v>
      </c>
      <c r="X11" s="54"/>
      <c r="Y11" s="54">
        <f t="shared" si="1"/>
        <v>0.94</v>
      </c>
      <c r="Z11" s="54">
        <f t="shared" si="1"/>
        <v>0.94</v>
      </c>
      <c r="AA11" s="54">
        <f t="shared" si="1"/>
        <v>0.94</v>
      </c>
      <c r="AB11" s="54">
        <f t="shared" si="1"/>
        <v>0.94</v>
      </c>
      <c r="AC11" s="54"/>
    </row>
    <row r="12" spans="1:33" s="51" customFormat="1" outlineLevel="1">
      <c r="B12" s="59" t="s">
        <v>62</v>
      </c>
      <c r="C12" s="58">
        <v>0.6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 spans="1:33" s="51" customFormat="1" outlineLevel="1">
      <c r="B13" s="56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</row>
    <row r="14" spans="1:33" s="51" customFormat="1" ht="14.4" outlineLevel="1">
      <c r="B14" s="164" t="s">
        <v>56</v>
      </c>
      <c r="C14" s="164"/>
      <c r="D14" s="164" t="s">
        <v>30</v>
      </c>
      <c r="E14" s="164">
        <f>E10</f>
        <v>0</v>
      </c>
      <c r="F14" s="164">
        <f>F10</f>
        <v>0</v>
      </c>
      <c r="G14" s="164">
        <f>G10</f>
        <v>29287.5</v>
      </c>
      <c r="H14" s="164">
        <f>H10</f>
        <v>29287.5</v>
      </c>
      <c r="I14" s="164"/>
      <c r="J14" s="164">
        <f>J10</f>
        <v>29287.5</v>
      </c>
      <c r="K14" s="164">
        <f>K10</f>
        <v>29287.5</v>
      </c>
      <c r="L14" s="164">
        <f>L10</f>
        <v>30112.5</v>
      </c>
      <c r="M14" s="164">
        <f>M10</f>
        <v>30112.5</v>
      </c>
      <c r="N14" s="164"/>
      <c r="O14" s="164">
        <f>O10</f>
        <v>30112.5</v>
      </c>
      <c r="P14" s="164">
        <f>P10</f>
        <v>30112.5</v>
      </c>
      <c r="Q14" s="164">
        <f>Q10</f>
        <v>30937.5</v>
      </c>
      <c r="R14" s="164">
        <f>R10</f>
        <v>30937.5</v>
      </c>
      <c r="S14" s="164"/>
      <c r="T14" s="164">
        <f>T10</f>
        <v>30937.5</v>
      </c>
      <c r="U14" s="164">
        <f>U10</f>
        <v>30937.5</v>
      </c>
      <c r="V14" s="164">
        <f>V10</f>
        <v>31762.5</v>
      </c>
      <c r="W14" s="164">
        <f>W10</f>
        <v>31762.5</v>
      </c>
      <c r="X14" s="164"/>
      <c r="Y14" s="164">
        <f>Y10</f>
        <v>31762.5</v>
      </c>
      <c r="Z14" s="164">
        <f>Z10</f>
        <v>31762.5</v>
      </c>
      <c r="AA14" s="164">
        <f>AA10</f>
        <v>32587.5</v>
      </c>
      <c r="AB14" s="164">
        <f>AB10</f>
        <v>32587.5</v>
      </c>
      <c r="AC14" s="164"/>
    </row>
    <row r="15" spans="1:33" s="51" customFormat="1" ht="14.4" outlineLevel="1">
      <c r="B15" s="164" t="s">
        <v>93</v>
      </c>
      <c r="C15" s="164">
        <v>71.86</v>
      </c>
      <c r="D15" s="164" t="s">
        <v>46</v>
      </c>
      <c r="E15" s="164">
        <f>$C$15*1000</f>
        <v>71860</v>
      </c>
      <c r="F15" s="164">
        <f t="shared" ref="F15:AB15" si="2">E15</f>
        <v>71860</v>
      </c>
      <c r="G15" s="164">
        <f>F15</f>
        <v>71860</v>
      </c>
      <c r="H15" s="164">
        <f>G15</f>
        <v>71860</v>
      </c>
      <c r="I15" s="164"/>
      <c r="J15" s="164">
        <f>H15</f>
        <v>71860</v>
      </c>
      <c r="K15" s="164">
        <f>J15</f>
        <v>71860</v>
      </c>
      <c r="L15" s="164">
        <f>K15</f>
        <v>71860</v>
      </c>
      <c r="M15" s="164">
        <f t="shared" si="2"/>
        <v>71860</v>
      </c>
      <c r="N15" s="164"/>
      <c r="O15" s="164">
        <f>M15</f>
        <v>71860</v>
      </c>
      <c r="P15" s="164">
        <f t="shared" si="2"/>
        <v>71860</v>
      </c>
      <c r="Q15" s="164">
        <f t="shared" si="2"/>
        <v>71860</v>
      </c>
      <c r="R15" s="164">
        <f t="shared" si="2"/>
        <v>71860</v>
      </c>
      <c r="S15" s="164"/>
      <c r="T15" s="164">
        <f>R15</f>
        <v>71860</v>
      </c>
      <c r="U15" s="164">
        <f t="shared" si="2"/>
        <v>71860</v>
      </c>
      <c r="V15" s="164">
        <f t="shared" si="2"/>
        <v>71860</v>
      </c>
      <c r="W15" s="164">
        <f t="shared" si="2"/>
        <v>71860</v>
      </c>
      <c r="X15" s="164"/>
      <c r="Y15" s="164">
        <f>W15</f>
        <v>71860</v>
      </c>
      <c r="Z15" s="164">
        <f t="shared" si="2"/>
        <v>71860</v>
      </c>
      <c r="AA15" s="164">
        <f t="shared" si="2"/>
        <v>71860</v>
      </c>
      <c r="AB15" s="164">
        <f t="shared" si="2"/>
        <v>71860</v>
      </c>
      <c r="AC15" s="164"/>
    </row>
    <row r="16" spans="1:33" s="51" customFormat="1" ht="14.4" outlineLevel="1">
      <c r="B16" s="164" t="s">
        <v>269</v>
      </c>
      <c r="C16" s="164">
        <v>0</v>
      </c>
      <c r="D16" s="164" t="s">
        <v>270</v>
      </c>
      <c r="E16" s="164">
        <v>1</v>
      </c>
      <c r="F16" s="164">
        <f>E16*(1+$C16/4)</f>
        <v>1</v>
      </c>
      <c r="G16" s="164">
        <f>F16*(1+$C16/4)</f>
        <v>1</v>
      </c>
      <c r="H16" s="164">
        <f>G16*(1+$C16/4)</f>
        <v>1</v>
      </c>
      <c r="I16" s="164"/>
      <c r="J16" s="164">
        <f>H16*(1+$C16/4)</f>
        <v>1</v>
      </c>
      <c r="K16" s="164">
        <f t="shared" ref="K16:AB16" si="3">J16*(1+$C16/4)</f>
        <v>1</v>
      </c>
      <c r="L16" s="164">
        <f t="shared" si="3"/>
        <v>1</v>
      </c>
      <c r="M16" s="164">
        <f t="shared" si="3"/>
        <v>1</v>
      </c>
      <c r="N16" s="164"/>
      <c r="O16" s="164">
        <f>M16*(1+$C16/4)</f>
        <v>1</v>
      </c>
      <c r="P16" s="164">
        <f t="shared" si="3"/>
        <v>1</v>
      </c>
      <c r="Q16" s="164">
        <f t="shared" si="3"/>
        <v>1</v>
      </c>
      <c r="R16" s="164">
        <f t="shared" si="3"/>
        <v>1</v>
      </c>
      <c r="S16" s="164"/>
      <c r="T16" s="164">
        <f>R16*(1+$C16/4)</f>
        <v>1</v>
      </c>
      <c r="U16" s="164">
        <f t="shared" si="3"/>
        <v>1</v>
      </c>
      <c r="V16" s="164">
        <f t="shared" si="3"/>
        <v>1</v>
      </c>
      <c r="W16" s="164">
        <f t="shared" si="3"/>
        <v>1</v>
      </c>
      <c r="X16" s="164"/>
      <c r="Y16" s="164">
        <f>W16*(1+$C16/4)</f>
        <v>1</v>
      </c>
      <c r="Z16" s="164">
        <f t="shared" si="3"/>
        <v>1</v>
      </c>
      <c r="AA16" s="164">
        <f t="shared" si="3"/>
        <v>1</v>
      </c>
      <c r="AB16" s="164">
        <f t="shared" si="3"/>
        <v>1</v>
      </c>
      <c r="AC16" s="164"/>
    </row>
    <row r="17" spans="1:29" s="51" customFormat="1">
      <c r="B17" s="57"/>
      <c r="D17" s="57"/>
    </row>
    <row r="18" spans="1:29" s="51" customFormat="1">
      <c r="A18" s="163" t="s">
        <v>367</v>
      </c>
      <c r="B18" s="61" t="s">
        <v>0</v>
      </c>
      <c r="D18" s="57"/>
    </row>
    <row r="19" spans="1:29" s="52" customFormat="1">
      <c r="B19" s="70" t="s">
        <v>357</v>
      </c>
      <c r="C19" s="109"/>
      <c r="D19" s="71"/>
      <c r="E19" s="109">
        <v>0</v>
      </c>
      <c r="F19" s="109">
        <f>E22</f>
        <v>0</v>
      </c>
      <c r="G19" s="109">
        <f t="shared" ref="G19:AB19" si="4">F22</f>
        <v>0</v>
      </c>
      <c r="H19" s="109">
        <f t="shared" si="4"/>
        <v>1065</v>
      </c>
      <c r="I19" s="109"/>
      <c r="J19" s="109">
        <f>H22</f>
        <v>1103.7272727272721</v>
      </c>
      <c r="K19" s="109">
        <f t="shared" si="4"/>
        <v>1105.1355371900827</v>
      </c>
      <c r="L19" s="109">
        <f>K22</f>
        <v>1105.186746806914</v>
      </c>
      <c r="M19" s="109">
        <f t="shared" si="4"/>
        <v>1135.1886089747968</v>
      </c>
      <c r="N19" s="109"/>
      <c r="O19" s="109">
        <f>M22</f>
        <v>1136.2795857809033</v>
      </c>
      <c r="P19" s="109">
        <f t="shared" si="4"/>
        <v>1136.3192576647598</v>
      </c>
      <c r="Q19" s="109">
        <f t="shared" si="4"/>
        <v>1136.3207002787203</v>
      </c>
      <c r="R19" s="109">
        <f t="shared" si="4"/>
        <v>1166.320752737407</v>
      </c>
      <c r="S19" s="109"/>
      <c r="T19" s="109">
        <f>R22</f>
        <v>1167.4116637359075</v>
      </c>
      <c r="U19" s="109">
        <f t="shared" si="4"/>
        <v>1167.4513332267597</v>
      </c>
      <c r="V19" s="109">
        <f t="shared" si="4"/>
        <v>1167.4527757536998</v>
      </c>
      <c r="W19" s="109">
        <f t="shared" si="4"/>
        <v>1197.4528282092251</v>
      </c>
      <c r="X19" s="109"/>
      <c r="Y19" s="109">
        <f>W22</f>
        <v>1198.5437392076092</v>
      </c>
      <c r="Z19" s="109">
        <f t="shared" si="4"/>
        <v>1198.5834086984578</v>
      </c>
      <c r="AA19" s="109">
        <f t="shared" si="4"/>
        <v>1198.5848512253979</v>
      </c>
      <c r="AB19" s="109">
        <f t="shared" si="4"/>
        <v>1228.5849036809232</v>
      </c>
      <c r="AC19" s="109"/>
    </row>
    <row r="20" spans="1:29" s="51" customFormat="1">
      <c r="B20" s="71" t="s">
        <v>265</v>
      </c>
      <c r="C20" s="110"/>
      <c r="D20" s="71"/>
      <c r="E20" s="110">
        <f t="shared" ref="E20:AB20" si="5">E14</f>
        <v>0</v>
      </c>
      <c r="F20" s="110">
        <f t="shared" si="5"/>
        <v>0</v>
      </c>
      <c r="G20" s="110">
        <f>G14</f>
        <v>29287.5</v>
      </c>
      <c r="H20" s="110">
        <f>H14</f>
        <v>29287.5</v>
      </c>
      <c r="I20" s="110"/>
      <c r="J20" s="110">
        <f t="shared" si="5"/>
        <v>29287.5</v>
      </c>
      <c r="K20" s="110">
        <f t="shared" si="5"/>
        <v>29287.5</v>
      </c>
      <c r="L20" s="110">
        <f>L14</f>
        <v>30112.5</v>
      </c>
      <c r="M20" s="110">
        <f t="shared" si="5"/>
        <v>30112.5</v>
      </c>
      <c r="N20" s="110"/>
      <c r="O20" s="110">
        <f t="shared" si="5"/>
        <v>30112.5</v>
      </c>
      <c r="P20" s="110">
        <f t="shared" si="5"/>
        <v>30112.5</v>
      </c>
      <c r="Q20" s="110">
        <f t="shared" si="5"/>
        <v>30937.5</v>
      </c>
      <c r="R20" s="110">
        <f t="shared" si="5"/>
        <v>30937.5</v>
      </c>
      <c r="S20" s="110"/>
      <c r="T20" s="110">
        <f t="shared" si="5"/>
        <v>30937.5</v>
      </c>
      <c r="U20" s="110">
        <f t="shared" si="5"/>
        <v>30937.5</v>
      </c>
      <c r="V20" s="110">
        <f t="shared" si="5"/>
        <v>31762.5</v>
      </c>
      <c r="W20" s="110">
        <f t="shared" si="5"/>
        <v>31762.5</v>
      </c>
      <c r="X20" s="110"/>
      <c r="Y20" s="110">
        <f t="shared" si="5"/>
        <v>31762.5</v>
      </c>
      <c r="Z20" s="110">
        <f t="shared" si="5"/>
        <v>31762.5</v>
      </c>
      <c r="AA20" s="110">
        <f t="shared" si="5"/>
        <v>32587.5</v>
      </c>
      <c r="AB20" s="110">
        <f t="shared" si="5"/>
        <v>32587.5</v>
      </c>
      <c r="AC20" s="110"/>
    </row>
    <row r="21" spans="1:29" s="51" customFormat="1">
      <c r="B21" s="71" t="s">
        <v>266</v>
      </c>
      <c r="C21" s="110"/>
      <c r="D21" s="71"/>
      <c r="E21" s="110">
        <f t="shared" ref="E21:J21" si="6">IFERROR(SUM(E19:E20)*((E$1-$C$22)/E1),0)</f>
        <v>0</v>
      </c>
      <c r="F21" s="110">
        <f t="shared" si="6"/>
        <v>0</v>
      </c>
      <c r="G21" s="110">
        <f t="shared" si="6"/>
        <v>28222.5</v>
      </c>
      <c r="H21" s="110">
        <f t="shared" si="6"/>
        <v>29248.772727272728</v>
      </c>
      <c r="I21" s="110">
        <f t="shared" si="6"/>
        <v>0</v>
      </c>
      <c r="J21" s="110">
        <f t="shared" si="6"/>
        <v>29286.091735537189</v>
      </c>
      <c r="K21" s="110">
        <f t="shared" ref="K21:AC21" si="7">IFERROR(SUM(K19:K20)*((K$1-$C$22)/K1),0)</f>
        <v>29287.448790383169</v>
      </c>
      <c r="L21" s="110">
        <f t="shared" si="7"/>
        <v>30082.498137832117</v>
      </c>
      <c r="M21" s="110">
        <f t="shared" si="7"/>
        <v>30111.409023193894</v>
      </c>
      <c r="N21" s="110">
        <f t="shared" si="7"/>
        <v>0</v>
      </c>
      <c r="O21" s="110">
        <f t="shared" si="7"/>
        <v>30112.460328116144</v>
      </c>
      <c r="P21" s="110">
        <f t="shared" si="7"/>
        <v>30112.498557386039</v>
      </c>
      <c r="Q21" s="110">
        <f t="shared" si="7"/>
        <v>30907.499947541313</v>
      </c>
      <c r="R21" s="110">
        <f t="shared" si="7"/>
        <v>30936.4090890015</v>
      </c>
      <c r="S21" s="110">
        <f t="shared" si="7"/>
        <v>0</v>
      </c>
      <c r="T21" s="110">
        <f t="shared" si="7"/>
        <v>30937.460330509148</v>
      </c>
      <c r="U21" s="110">
        <f t="shared" si="7"/>
        <v>30937.49855747306</v>
      </c>
      <c r="V21" s="110">
        <f t="shared" si="7"/>
        <v>31732.499947544475</v>
      </c>
      <c r="W21" s="110">
        <f t="shared" si="7"/>
        <v>31761.409089001612</v>
      </c>
      <c r="X21" s="110">
        <f t="shared" si="7"/>
        <v>0</v>
      </c>
      <c r="Y21" s="110">
        <f t="shared" si="7"/>
        <v>31762.460330509155</v>
      </c>
      <c r="Z21" s="110">
        <f t="shared" si="7"/>
        <v>31762.498557473056</v>
      </c>
      <c r="AA21" s="110">
        <f t="shared" si="7"/>
        <v>32557.499947544478</v>
      </c>
      <c r="AB21" s="110">
        <f t="shared" si="7"/>
        <v>32586.409089001616</v>
      </c>
      <c r="AC21" s="110">
        <f t="shared" si="7"/>
        <v>0</v>
      </c>
    </row>
    <row r="22" spans="1:29" s="52" customFormat="1">
      <c r="B22" s="70" t="s">
        <v>267</v>
      </c>
      <c r="C22" s="109">
        <v>3</v>
      </c>
      <c r="D22" s="70"/>
      <c r="E22" s="109">
        <f>E19+E20-E21</f>
        <v>0</v>
      </c>
      <c r="F22" s="109">
        <f>F19+F20-F21</f>
        <v>0</v>
      </c>
      <c r="G22" s="109">
        <f>G19+G20-G21</f>
        <v>1065</v>
      </c>
      <c r="H22" s="109">
        <f>H19+H20-H21</f>
        <v>1103.7272727272721</v>
      </c>
      <c r="I22" s="109"/>
      <c r="J22" s="109">
        <f>J19+J20-J21</f>
        <v>1105.1355371900827</v>
      </c>
      <c r="K22" s="109">
        <f t="shared" ref="K22:AB22" si="8">K19+K20-K21</f>
        <v>1105.186746806914</v>
      </c>
      <c r="L22" s="109">
        <f>L19+L20-L21</f>
        <v>1135.1886089747968</v>
      </c>
      <c r="M22" s="109">
        <f t="shared" si="8"/>
        <v>1136.2795857809033</v>
      </c>
      <c r="N22" s="109"/>
      <c r="O22" s="109">
        <f t="shared" si="8"/>
        <v>1136.3192576647598</v>
      </c>
      <c r="P22" s="109">
        <f t="shared" si="8"/>
        <v>1136.3207002787203</v>
      </c>
      <c r="Q22" s="109">
        <f t="shared" si="8"/>
        <v>1166.320752737407</v>
      </c>
      <c r="R22" s="109">
        <f t="shared" si="8"/>
        <v>1167.4116637359075</v>
      </c>
      <c r="S22" s="109"/>
      <c r="T22" s="109">
        <f t="shared" si="8"/>
        <v>1167.4513332267597</v>
      </c>
      <c r="U22" s="109">
        <f t="shared" si="8"/>
        <v>1167.4527757536998</v>
      </c>
      <c r="V22" s="109">
        <f t="shared" si="8"/>
        <v>1197.4528282092251</v>
      </c>
      <c r="W22" s="109">
        <f t="shared" si="8"/>
        <v>1198.5437392076092</v>
      </c>
      <c r="X22" s="109"/>
      <c r="Y22" s="109">
        <f t="shared" si="8"/>
        <v>1198.5834086984578</v>
      </c>
      <c r="Z22" s="109">
        <f t="shared" si="8"/>
        <v>1198.5848512253979</v>
      </c>
      <c r="AA22" s="109">
        <f t="shared" si="8"/>
        <v>1228.5849036809232</v>
      </c>
      <c r="AB22" s="109">
        <f t="shared" si="8"/>
        <v>1229.6758146793072</v>
      </c>
      <c r="AC22" s="109"/>
    </row>
    <row r="23" spans="1:29" s="52" customFormat="1">
      <c r="B23" s="70"/>
      <c r="C23" s="109"/>
      <c r="D23" s="70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</row>
    <row r="24" spans="1:29" s="52" customFormat="1">
      <c r="B24" s="70" t="s">
        <v>422</v>
      </c>
      <c r="C24" s="109" t="s">
        <v>309</v>
      </c>
      <c r="D24" s="70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</row>
    <row r="25" spans="1:29" s="52" customFormat="1">
      <c r="B25" s="71" t="str">
        <f>B19</f>
        <v>Opening Stock</v>
      </c>
      <c r="C25" s="71"/>
      <c r="D25" s="71"/>
      <c r="E25" s="71">
        <v>0</v>
      </c>
      <c r="F25" s="71">
        <f>E29</f>
        <v>0</v>
      </c>
      <c r="G25" s="71">
        <f>F29</f>
        <v>0</v>
      </c>
      <c r="H25" s="71">
        <f>G29</f>
        <v>0</v>
      </c>
      <c r="I25" s="71"/>
      <c r="J25" s="71">
        <f>H29</f>
        <v>0</v>
      </c>
      <c r="K25" s="71">
        <f>J29</f>
        <v>0</v>
      </c>
      <c r="L25" s="71">
        <f>K29</f>
        <v>0</v>
      </c>
      <c r="M25" s="71">
        <f>L29</f>
        <v>281895.23467163945</v>
      </c>
      <c r="N25" s="71"/>
      <c r="O25" s="71">
        <f>M29</f>
        <v>187930.15644775965</v>
      </c>
      <c r="P25" s="71">
        <f>O29</f>
        <v>93965.078223879842</v>
      </c>
      <c r="Q25" s="71">
        <f>P29</f>
        <v>0</v>
      </c>
      <c r="R25" s="71">
        <f>Q29</f>
        <v>289618.39178593096</v>
      </c>
      <c r="S25" s="71"/>
      <c r="T25" s="71">
        <f>R29</f>
        <v>193078.92785728729</v>
      </c>
      <c r="U25" s="71">
        <f>T29</f>
        <v>96539.463928643629</v>
      </c>
      <c r="V25" s="71">
        <f>U29</f>
        <v>0</v>
      </c>
      <c r="W25" s="71">
        <f>V29</f>
        <v>297341.54890022241</v>
      </c>
      <c r="X25" s="71"/>
      <c r="Y25" s="71">
        <f>W29</f>
        <v>198227.69926681492</v>
      </c>
      <c r="Z25" s="71">
        <f>Y29</f>
        <v>99113.849633407444</v>
      </c>
      <c r="AA25" s="71">
        <f>Z29</f>
        <v>0</v>
      </c>
      <c r="AB25" s="71">
        <f>AA29</f>
        <v>305064.70601451391</v>
      </c>
      <c r="AC25" s="71"/>
    </row>
    <row r="26" spans="1:29" s="52" customFormat="1">
      <c r="B26" s="71" t="s">
        <v>423</v>
      </c>
      <c r="C26" s="71"/>
      <c r="D26" s="71"/>
      <c r="E26" s="71">
        <f>0</f>
        <v>0</v>
      </c>
      <c r="F26" s="71">
        <f>0</f>
        <v>0</v>
      </c>
      <c r="G26" s="71">
        <f>G7</f>
        <v>91390.692519115997</v>
      </c>
      <c r="H26" s="71">
        <f>H7</f>
        <v>91390.692519115997</v>
      </c>
      <c r="I26" s="71"/>
      <c r="J26" s="71">
        <f>J7</f>
        <v>91390.692519115997</v>
      </c>
      <c r="K26" s="71">
        <f>K7</f>
        <v>91390.692519115997</v>
      </c>
      <c r="L26" s="71">
        <f>SUM(L7:M7,O7:P7)</f>
        <v>375860.31289551925</v>
      </c>
      <c r="M26" s="71"/>
      <c r="N26" s="71"/>
      <c r="O26" s="71"/>
      <c r="P26" s="71"/>
      <c r="Q26" s="71">
        <f>SUM(Q7:R7,T7:U7)</f>
        <v>386157.85571457463</v>
      </c>
      <c r="R26" s="71"/>
      <c r="S26" s="71"/>
      <c r="T26" s="71"/>
      <c r="U26" s="71"/>
      <c r="V26" s="71">
        <f>SUM(V7:W7,Y7:Z7)</f>
        <v>396455.39853362989</v>
      </c>
      <c r="W26" s="71"/>
      <c r="X26" s="71"/>
      <c r="Y26" s="71"/>
      <c r="Z26" s="71"/>
      <c r="AA26" s="71">
        <f>SUM(AA7:AB7)*2</f>
        <v>406752.94135268521</v>
      </c>
      <c r="AB26" s="71"/>
      <c r="AC26" s="71"/>
    </row>
    <row r="27" spans="1:29" s="52" customFormat="1">
      <c r="B27" s="71" t="s">
        <v>355</v>
      </c>
      <c r="C27" s="71"/>
      <c r="D27" s="71"/>
      <c r="E27" s="71">
        <f>SUM(E25:E26)</f>
        <v>0</v>
      </c>
      <c r="F27" s="71">
        <f>SUM(F25:F26)</f>
        <v>0</v>
      </c>
      <c r="G27" s="71">
        <f>SUM(G25:G26)</f>
        <v>91390.692519115997</v>
      </c>
      <c r="H27" s="71">
        <f>SUM(H25:H26)</f>
        <v>91390.692519115997</v>
      </c>
      <c r="I27" s="71"/>
      <c r="J27" s="71">
        <f>SUM(J25:J26)</f>
        <v>91390.692519115997</v>
      </c>
      <c r="K27" s="71">
        <f>SUM(K25:K26)</f>
        <v>91390.692519115997</v>
      </c>
      <c r="L27" s="71">
        <f>SUM(L25:L26)</f>
        <v>375860.31289551925</v>
      </c>
      <c r="M27" s="71">
        <f>SUM(M25:M26)</f>
        <v>281895.23467163945</v>
      </c>
      <c r="N27" s="71"/>
      <c r="O27" s="71">
        <f>SUM(O25:O26)</f>
        <v>187930.15644775965</v>
      </c>
      <c r="P27" s="71">
        <f>SUM(P25:P26)</f>
        <v>93965.078223879842</v>
      </c>
      <c r="Q27" s="71">
        <f>SUM(Q25:Q26)</f>
        <v>386157.85571457463</v>
      </c>
      <c r="R27" s="71">
        <f>SUM(R25:R26)</f>
        <v>289618.39178593096</v>
      </c>
      <c r="S27" s="71"/>
      <c r="T27" s="71">
        <f>SUM(T25:T26)</f>
        <v>193078.92785728729</v>
      </c>
      <c r="U27" s="71">
        <f>SUM(U25:U26)</f>
        <v>96539.463928643629</v>
      </c>
      <c r="V27" s="71">
        <f>SUM(V25:V26)</f>
        <v>396455.39853362989</v>
      </c>
      <c r="W27" s="71">
        <f>SUM(W25:W26)</f>
        <v>297341.54890022241</v>
      </c>
      <c r="X27" s="71"/>
      <c r="Y27" s="71">
        <f>SUM(Y25:Y26)</f>
        <v>198227.69926681492</v>
      </c>
      <c r="Z27" s="71">
        <f>SUM(Z25:Z26)</f>
        <v>99113.849633407444</v>
      </c>
      <c r="AA27" s="71">
        <f>SUM(AA25:AA26)</f>
        <v>406752.94135268521</v>
      </c>
      <c r="AB27" s="71">
        <f>SUM(AB25:AB26)</f>
        <v>305064.70601451391</v>
      </c>
      <c r="AC27" s="71"/>
    </row>
    <row r="28" spans="1:29" s="52" customFormat="1">
      <c r="B28" s="71" t="s">
        <v>506</v>
      </c>
      <c r="C28" s="71"/>
      <c r="D28" s="71"/>
      <c r="E28" s="71">
        <f>E7</f>
        <v>0</v>
      </c>
      <c r="F28" s="71">
        <f>F7</f>
        <v>0</v>
      </c>
      <c r="G28" s="71">
        <f>G7</f>
        <v>91390.692519115997</v>
      </c>
      <c r="H28" s="71">
        <f>H7</f>
        <v>91390.692519115997</v>
      </c>
      <c r="I28" s="71"/>
      <c r="J28" s="71">
        <f>J7</f>
        <v>91390.692519115997</v>
      </c>
      <c r="K28" s="71">
        <f>K7</f>
        <v>91390.692519115997</v>
      </c>
      <c r="L28" s="71">
        <f>L7</f>
        <v>93965.078223879813</v>
      </c>
      <c r="M28" s="71">
        <f>M7</f>
        <v>93965.078223879813</v>
      </c>
      <c r="N28" s="71"/>
      <c r="O28" s="71">
        <f>O7</f>
        <v>93965.078223879813</v>
      </c>
      <c r="P28" s="71">
        <f>P7</f>
        <v>93965.078223879813</v>
      </c>
      <c r="Q28" s="71">
        <f>Q7</f>
        <v>96539.463928643658</v>
      </c>
      <c r="R28" s="71">
        <f>R7</f>
        <v>96539.463928643658</v>
      </c>
      <c r="S28" s="71"/>
      <c r="T28" s="71">
        <f>T7</f>
        <v>96539.463928643658</v>
      </c>
      <c r="U28" s="71">
        <f>U7</f>
        <v>96539.463928643658</v>
      </c>
      <c r="V28" s="71">
        <f>V7</f>
        <v>99113.849633407473</v>
      </c>
      <c r="W28" s="71">
        <f>W7</f>
        <v>99113.849633407473</v>
      </c>
      <c r="X28" s="71"/>
      <c r="Y28" s="71">
        <f>Y7</f>
        <v>99113.849633407473</v>
      </c>
      <c r="Z28" s="71">
        <f>Z7</f>
        <v>99113.849633407473</v>
      </c>
      <c r="AA28" s="71">
        <f>AA7</f>
        <v>101688.2353381713</v>
      </c>
      <c r="AB28" s="71">
        <f>AB7</f>
        <v>101688.2353381713</v>
      </c>
      <c r="AC28" s="71"/>
    </row>
    <row r="29" spans="1:29" s="52" customFormat="1">
      <c r="B29" s="71" t="s">
        <v>267</v>
      </c>
      <c r="C29" s="71"/>
      <c r="D29" s="71"/>
      <c r="E29" s="71">
        <f>E27-E28</f>
        <v>0</v>
      </c>
      <c r="F29" s="71">
        <f>F27-F28</f>
        <v>0</v>
      </c>
      <c r="G29" s="71">
        <f>G27-G28</f>
        <v>0</v>
      </c>
      <c r="H29" s="71">
        <f>H27-H28</f>
        <v>0</v>
      </c>
      <c r="I29" s="71"/>
      <c r="J29" s="71">
        <f>J27-J28</f>
        <v>0</v>
      </c>
      <c r="K29" s="71">
        <f>K27-K28</f>
        <v>0</v>
      </c>
      <c r="L29" s="71">
        <f>L27-L28</f>
        <v>281895.23467163945</v>
      </c>
      <c r="M29" s="71">
        <f>M27-M28</f>
        <v>187930.15644775965</v>
      </c>
      <c r="N29" s="71"/>
      <c r="O29" s="71">
        <f>O27-O28</f>
        <v>93965.078223879842</v>
      </c>
      <c r="P29" s="71">
        <f>P27-P28</f>
        <v>0</v>
      </c>
      <c r="Q29" s="71">
        <f>Q27-Q28</f>
        <v>289618.39178593096</v>
      </c>
      <c r="R29" s="71">
        <f>R27-R28</f>
        <v>193078.92785728729</v>
      </c>
      <c r="S29" s="71"/>
      <c r="T29" s="71">
        <f>T27-T28</f>
        <v>96539.463928643629</v>
      </c>
      <c r="U29" s="71">
        <f>U27-U28</f>
        <v>0</v>
      </c>
      <c r="V29" s="71">
        <f>V27-V28</f>
        <v>297341.54890022241</v>
      </c>
      <c r="W29" s="71">
        <f>W27-W28</f>
        <v>198227.69926681492</v>
      </c>
      <c r="X29" s="71"/>
      <c r="Y29" s="71">
        <f>Y27-Y28</f>
        <v>99113.849633407444</v>
      </c>
      <c r="Z29" s="71">
        <f>Z27-Z28</f>
        <v>0</v>
      </c>
      <c r="AA29" s="71">
        <f>AA27-AA28</f>
        <v>305064.70601451391</v>
      </c>
      <c r="AB29" s="71">
        <f>AB27-AB28</f>
        <v>203376.47067634261</v>
      </c>
      <c r="AC29" s="71"/>
    </row>
    <row r="30" spans="1:29" s="51" customFormat="1">
      <c r="B30" s="57"/>
      <c r="D30" s="57"/>
    </row>
    <row r="31" spans="1:29" s="84" customFormat="1" ht="15.6">
      <c r="A31" s="52" t="s">
        <v>367</v>
      </c>
      <c r="B31" s="84" t="s">
        <v>94</v>
      </c>
      <c r="D31" s="84" t="s">
        <v>95</v>
      </c>
      <c r="E31" s="84">
        <f t="shared" ref="E31:AB31" si="9">E21*E15*E16</f>
        <v>0</v>
      </c>
      <c r="F31" s="84">
        <f t="shared" si="9"/>
        <v>0</v>
      </c>
      <c r="G31" s="84">
        <f>G21*G15*G16</f>
        <v>2028068850</v>
      </c>
      <c r="H31" s="84">
        <f t="shared" si="9"/>
        <v>2101816808.1818182</v>
      </c>
      <c r="J31" s="84">
        <f t="shared" si="9"/>
        <v>2104498552.1157024</v>
      </c>
      <c r="K31" s="84">
        <f t="shared" si="9"/>
        <v>2104596070.0769346</v>
      </c>
      <c r="L31" s="84">
        <f t="shared" si="9"/>
        <v>2161728316.1846161</v>
      </c>
      <c r="M31" s="84">
        <f t="shared" si="9"/>
        <v>2163805852.406713</v>
      </c>
      <c r="N31" s="84">
        <f>SUM(J31:M31)</f>
        <v>8534628790.7839661</v>
      </c>
      <c r="O31" s="84">
        <f t="shared" si="9"/>
        <v>2163881399.1784263</v>
      </c>
      <c r="P31" s="84">
        <f t="shared" si="9"/>
        <v>2163884146.3337607</v>
      </c>
      <c r="Q31" s="84">
        <f t="shared" si="9"/>
        <v>2221012946.2303185</v>
      </c>
      <c r="R31" s="84">
        <f t="shared" si="9"/>
        <v>2223090357.1356478</v>
      </c>
      <c r="T31" s="84">
        <f t="shared" si="9"/>
        <v>2223165899.3503876</v>
      </c>
      <c r="U31" s="84">
        <f t="shared" si="9"/>
        <v>2223168646.340014</v>
      </c>
      <c r="V31" s="84">
        <f t="shared" si="9"/>
        <v>2280297446.230546</v>
      </c>
      <c r="W31" s="84">
        <f t="shared" si="9"/>
        <v>2282374857.1356559</v>
      </c>
      <c r="Y31" s="84">
        <f t="shared" si="9"/>
        <v>2282450399.3503881</v>
      </c>
      <c r="Z31" s="84">
        <f t="shared" si="9"/>
        <v>2282453146.340014</v>
      </c>
      <c r="AA31" s="84">
        <f t="shared" si="9"/>
        <v>2339581946.230546</v>
      </c>
      <c r="AB31" s="84">
        <f t="shared" si="9"/>
        <v>2341659357.1356564</v>
      </c>
    </row>
    <row r="32" spans="1:29" s="51" customFormat="1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 spans="1:29" s="51" customFormat="1">
      <c r="B33" s="111" t="s">
        <v>57</v>
      </c>
      <c r="C33" s="111">
        <v>280</v>
      </c>
      <c r="D33" s="111" t="s">
        <v>309</v>
      </c>
      <c r="E33" s="112">
        <f>$C$33*E7/1000</f>
        <v>0</v>
      </c>
      <c r="F33" s="112">
        <f t="shared" ref="F33:AB33" si="10">$C$33*F7/1000</f>
        <v>0</v>
      </c>
      <c r="G33" s="112">
        <f>$C$33*G7/1000</f>
        <v>25589.393905352481</v>
      </c>
      <c r="H33" s="112">
        <f>$C$33*H7/1000</f>
        <v>25589.393905352481</v>
      </c>
      <c r="I33" s="112"/>
      <c r="J33" s="112">
        <f t="shared" si="10"/>
        <v>25589.393905352481</v>
      </c>
      <c r="K33" s="112">
        <f t="shared" si="10"/>
        <v>25589.393905352481</v>
      </c>
      <c r="L33" s="112">
        <f t="shared" si="10"/>
        <v>26310.221902686346</v>
      </c>
      <c r="M33" s="112">
        <f t="shared" si="10"/>
        <v>26310.221902686346</v>
      </c>
      <c r="N33" s="112"/>
      <c r="O33" s="112">
        <f t="shared" si="10"/>
        <v>26310.221902686346</v>
      </c>
      <c r="P33" s="112">
        <f t="shared" si="10"/>
        <v>26310.221902686346</v>
      </c>
      <c r="Q33" s="112">
        <f t="shared" si="10"/>
        <v>27031.049900020222</v>
      </c>
      <c r="R33" s="112">
        <f t="shared" si="10"/>
        <v>27031.049900020222</v>
      </c>
      <c r="S33" s="112"/>
      <c r="T33" s="112">
        <f t="shared" si="10"/>
        <v>27031.049900020222</v>
      </c>
      <c r="U33" s="112">
        <f t="shared" si="10"/>
        <v>27031.049900020222</v>
      </c>
      <c r="V33" s="112">
        <f t="shared" si="10"/>
        <v>27751.877897354094</v>
      </c>
      <c r="W33" s="112">
        <f t="shared" si="10"/>
        <v>27751.877897354094</v>
      </c>
      <c r="X33" s="112"/>
      <c r="Y33" s="112">
        <f t="shared" si="10"/>
        <v>27751.877897354094</v>
      </c>
      <c r="Z33" s="112">
        <f t="shared" si="10"/>
        <v>27751.877897354094</v>
      </c>
      <c r="AA33" s="112">
        <f t="shared" si="10"/>
        <v>28472.705894687966</v>
      </c>
      <c r="AB33" s="112">
        <f t="shared" si="10"/>
        <v>28472.705894687966</v>
      </c>
      <c r="AC33" s="112"/>
    </row>
    <row r="34" spans="1:29" s="51" customFormat="1">
      <c r="B34" s="111" t="s">
        <v>90</v>
      </c>
      <c r="C34" s="111">
        <v>14.5</v>
      </c>
      <c r="D34" s="111"/>
      <c r="E34" s="71">
        <f>C34*1000</f>
        <v>14500</v>
      </c>
      <c r="F34" s="71">
        <f>E34</f>
        <v>14500</v>
      </c>
      <c r="G34" s="71">
        <f t="shared" ref="G34:AB34" si="11">F34</f>
        <v>14500</v>
      </c>
      <c r="H34" s="71">
        <f>G34</f>
        <v>14500</v>
      </c>
      <c r="I34" s="71"/>
      <c r="J34" s="71">
        <f>H34</f>
        <v>14500</v>
      </c>
      <c r="K34" s="71">
        <f t="shared" si="11"/>
        <v>14500</v>
      </c>
      <c r="L34" s="71">
        <f t="shared" si="11"/>
        <v>14500</v>
      </c>
      <c r="M34" s="71">
        <f t="shared" si="11"/>
        <v>14500</v>
      </c>
      <c r="N34" s="71"/>
      <c r="O34" s="71">
        <f>M34</f>
        <v>14500</v>
      </c>
      <c r="P34" s="71">
        <f t="shared" si="11"/>
        <v>14500</v>
      </c>
      <c r="Q34" s="71">
        <f t="shared" si="11"/>
        <v>14500</v>
      </c>
      <c r="R34" s="71">
        <f t="shared" si="11"/>
        <v>14500</v>
      </c>
      <c r="S34" s="71"/>
      <c r="T34" s="71">
        <f>R34</f>
        <v>14500</v>
      </c>
      <c r="U34" s="71">
        <f t="shared" si="11"/>
        <v>14500</v>
      </c>
      <c r="V34" s="71">
        <f t="shared" si="11"/>
        <v>14500</v>
      </c>
      <c r="W34" s="71">
        <f t="shared" si="11"/>
        <v>14500</v>
      </c>
      <c r="X34" s="71"/>
      <c r="Y34" s="71">
        <f>W34</f>
        <v>14500</v>
      </c>
      <c r="Z34" s="71">
        <f t="shared" si="11"/>
        <v>14500</v>
      </c>
      <c r="AA34" s="71">
        <f t="shared" si="11"/>
        <v>14500</v>
      </c>
      <c r="AB34" s="71">
        <f t="shared" si="11"/>
        <v>14500</v>
      </c>
      <c r="AC34" s="71"/>
    </row>
    <row r="35" spans="1:29" s="58" customFormat="1">
      <c r="B35" s="98" t="s">
        <v>271</v>
      </c>
      <c r="C35" s="98">
        <v>0.02</v>
      </c>
      <c r="D35" s="98"/>
      <c r="E35" s="98">
        <v>1</v>
      </c>
      <c r="F35" s="98">
        <f t="shared" ref="F35:AB35" si="12">E35*(1+$C35/4)</f>
        <v>1.0049999999999999</v>
      </c>
      <c r="G35" s="98">
        <f t="shared" si="12"/>
        <v>1.0100249999999997</v>
      </c>
      <c r="H35" s="98">
        <f t="shared" si="12"/>
        <v>1.0150751249999996</v>
      </c>
      <c r="I35" s="98"/>
      <c r="J35" s="98">
        <f>H35*(1+$C35/4)</f>
        <v>1.0201505006249996</v>
      </c>
      <c r="K35" s="98">
        <f t="shared" si="12"/>
        <v>1.0252512531281244</v>
      </c>
      <c r="L35" s="98">
        <f t="shared" si="12"/>
        <v>1.0303775093937648</v>
      </c>
      <c r="M35" s="98">
        <f t="shared" si="12"/>
        <v>1.0355293969407335</v>
      </c>
      <c r="N35" s="98"/>
      <c r="O35" s="98">
        <f>M35*(1+$C35/4)</f>
        <v>1.0407070439254371</v>
      </c>
      <c r="P35" s="98">
        <f t="shared" si="12"/>
        <v>1.0459105791450642</v>
      </c>
      <c r="Q35" s="98">
        <f t="shared" si="12"/>
        <v>1.0511401320407894</v>
      </c>
      <c r="R35" s="98">
        <f t="shared" si="12"/>
        <v>1.0563958327009932</v>
      </c>
      <c r="S35" s="98"/>
      <c r="T35" s="98">
        <f>R35*(1+$C35/4)</f>
        <v>1.0616778118644981</v>
      </c>
      <c r="U35" s="98">
        <f t="shared" si="12"/>
        <v>1.0669862009238205</v>
      </c>
      <c r="V35" s="98">
        <f t="shared" si="12"/>
        <v>1.0723211319284394</v>
      </c>
      <c r="W35" s="98">
        <f t="shared" si="12"/>
        <v>1.0776827375880815</v>
      </c>
      <c r="X35" s="98"/>
      <c r="Y35" s="98">
        <f>W35*(1+$C35/4)</f>
        <v>1.0830711512760218</v>
      </c>
      <c r="Z35" s="98">
        <f t="shared" si="12"/>
        <v>1.0884865070324019</v>
      </c>
      <c r="AA35" s="98">
        <f t="shared" si="12"/>
        <v>1.0939289395675638</v>
      </c>
      <c r="AB35" s="98">
        <f t="shared" si="12"/>
        <v>1.0993985842654015</v>
      </c>
      <c r="AC35" s="98"/>
    </row>
    <row r="36" spans="1:29" s="51" customFormat="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</row>
    <row r="37" spans="1:29" s="51" customFormat="1">
      <c r="B37" s="61" t="s">
        <v>369</v>
      </c>
      <c r="D37" s="57"/>
    </row>
    <row r="38" spans="1:29" s="51" customFormat="1">
      <c r="B38" s="71" t="s">
        <v>357</v>
      </c>
      <c r="C38" s="71"/>
      <c r="D38" s="71"/>
      <c r="E38" s="110">
        <v>0</v>
      </c>
      <c r="F38" s="110">
        <f t="shared" ref="F38:AB38" si="13">E41</f>
        <v>0</v>
      </c>
      <c r="G38" s="110">
        <f t="shared" si="13"/>
        <v>0</v>
      </c>
      <c r="H38" s="110">
        <f t="shared" si="13"/>
        <v>0</v>
      </c>
      <c r="I38" s="110"/>
      <c r="J38" s="110">
        <f>H41</f>
        <v>0</v>
      </c>
      <c r="K38" s="110">
        <f t="shared" si="13"/>
        <v>0</v>
      </c>
      <c r="L38" s="110">
        <f>K41</f>
        <v>0</v>
      </c>
      <c r="M38" s="110">
        <f t="shared" si="13"/>
        <v>0</v>
      </c>
      <c r="N38" s="110"/>
      <c r="O38" s="110">
        <f>M41</f>
        <v>0</v>
      </c>
      <c r="P38" s="110">
        <f t="shared" si="13"/>
        <v>0</v>
      </c>
      <c r="Q38" s="110">
        <f t="shared" si="13"/>
        <v>0</v>
      </c>
      <c r="R38" s="110">
        <f t="shared" si="13"/>
        <v>0</v>
      </c>
      <c r="S38" s="110"/>
      <c r="T38" s="110">
        <f>R41</f>
        <v>0</v>
      </c>
      <c r="U38" s="110">
        <f t="shared" si="13"/>
        <v>0</v>
      </c>
      <c r="V38" s="110">
        <f t="shared" si="13"/>
        <v>0</v>
      </c>
      <c r="W38" s="110">
        <f t="shared" si="13"/>
        <v>0</v>
      </c>
      <c r="X38" s="110"/>
      <c r="Y38" s="110">
        <f>W41</f>
        <v>0</v>
      </c>
      <c r="Z38" s="110">
        <f t="shared" si="13"/>
        <v>0</v>
      </c>
      <c r="AA38" s="110">
        <f t="shared" si="13"/>
        <v>0</v>
      </c>
      <c r="AB38" s="110">
        <f t="shared" si="13"/>
        <v>0</v>
      </c>
      <c r="AC38" s="110"/>
    </row>
    <row r="39" spans="1:29" s="51" customFormat="1">
      <c r="B39" s="71" t="s">
        <v>265</v>
      </c>
      <c r="C39" s="110"/>
      <c r="D39" s="71"/>
      <c r="E39" s="110">
        <f>E33</f>
        <v>0</v>
      </c>
      <c r="F39" s="110">
        <f>F33</f>
        <v>0</v>
      </c>
      <c r="G39" s="110">
        <f>G33</f>
        <v>25589.393905352481</v>
      </c>
      <c r="H39" s="110">
        <f>H33</f>
        <v>25589.393905352481</v>
      </c>
      <c r="I39" s="110"/>
      <c r="J39" s="110">
        <f>J33</f>
        <v>25589.393905352481</v>
      </c>
      <c r="K39" s="110">
        <f>K33</f>
        <v>25589.393905352481</v>
      </c>
      <c r="L39" s="110">
        <f>L33</f>
        <v>26310.221902686346</v>
      </c>
      <c r="M39" s="110">
        <f>M33</f>
        <v>26310.221902686346</v>
      </c>
      <c r="N39" s="110"/>
      <c r="O39" s="110">
        <f>O33</f>
        <v>26310.221902686346</v>
      </c>
      <c r="P39" s="110">
        <f>P33</f>
        <v>26310.221902686346</v>
      </c>
      <c r="Q39" s="110">
        <f>Q33</f>
        <v>27031.049900020222</v>
      </c>
      <c r="R39" s="110">
        <f>R33</f>
        <v>27031.049900020222</v>
      </c>
      <c r="S39" s="110"/>
      <c r="T39" s="110">
        <f>T33</f>
        <v>27031.049900020222</v>
      </c>
      <c r="U39" s="110">
        <f>U33</f>
        <v>27031.049900020222</v>
      </c>
      <c r="V39" s="110">
        <f>V33</f>
        <v>27751.877897354094</v>
      </c>
      <c r="W39" s="110">
        <f>W33</f>
        <v>27751.877897354094</v>
      </c>
      <c r="X39" s="110"/>
      <c r="Y39" s="110">
        <f>Y33</f>
        <v>27751.877897354094</v>
      </c>
      <c r="Z39" s="110">
        <f>Z33</f>
        <v>27751.877897354094</v>
      </c>
      <c r="AA39" s="110">
        <f>AA33</f>
        <v>28472.705894687966</v>
      </c>
      <c r="AB39" s="110">
        <f>AB33</f>
        <v>28472.705894687966</v>
      </c>
      <c r="AC39" s="110"/>
    </row>
    <row r="40" spans="1:29" s="51" customFormat="1">
      <c r="B40" s="71" t="s">
        <v>266</v>
      </c>
      <c r="C40" s="110"/>
      <c r="D40" s="71"/>
      <c r="E40" s="110">
        <f>IFERROR(SUM(E38:E39)*((E$1-$C$41)/E1),0)</f>
        <v>0</v>
      </c>
      <c r="F40" s="110">
        <f>IFERROR(SUM(F38:F39)*((F$1-$C$41)/F1),0)</f>
        <v>0</v>
      </c>
      <c r="G40" s="110">
        <f>IFERROR(SUM(G38:G39)*((G$1-$C$41)/G1),0)</f>
        <v>25589.393905352481</v>
      </c>
      <c r="H40" s="110">
        <f>IFERROR(SUM(H38:H39)*((H$1-$C$41)/H1),0)</f>
        <v>25589.393905352481</v>
      </c>
      <c r="I40" s="110">
        <f t="shared" ref="I40:AC40" si="14">IFERROR(SUM(I38:I39)*((I$1-$C$41)/I1),0)</f>
        <v>0</v>
      </c>
      <c r="J40" s="110">
        <f>IFERROR(SUM(J38:J39)*((J$1-$C$41)/J1),0)</f>
        <v>25589.393905352481</v>
      </c>
      <c r="K40" s="110">
        <f>IFERROR(SUM(K38:K39)*((K$1-$C$41)/K1),0)</f>
        <v>25589.393905352481</v>
      </c>
      <c r="L40" s="110">
        <f t="shared" si="14"/>
        <v>26310.221902686346</v>
      </c>
      <c r="M40" s="110">
        <f t="shared" si="14"/>
        <v>26310.221902686346</v>
      </c>
      <c r="N40" s="110">
        <f t="shared" si="14"/>
        <v>0</v>
      </c>
      <c r="O40" s="110">
        <f t="shared" si="14"/>
        <v>26310.221902686346</v>
      </c>
      <c r="P40" s="110">
        <f t="shared" si="14"/>
        <v>26310.221902686346</v>
      </c>
      <c r="Q40" s="110">
        <f t="shared" si="14"/>
        <v>27031.049900020222</v>
      </c>
      <c r="R40" s="110">
        <f t="shared" si="14"/>
        <v>27031.049900020222</v>
      </c>
      <c r="S40" s="110">
        <f t="shared" si="14"/>
        <v>0</v>
      </c>
      <c r="T40" s="110">
        <f t="shared" si="14"/>
        <v>27031.049900020222</v>
      </c>
      <c r="U40" s="110">
        <f t="shared" si="14"/>
        <v>27031.049900020222</v>
      </c>
      <c r="V40" s="110">
        <f t="shared" si="14"/>
        <v>27751.877897354094</v>
      </c>
      <c r="W40" s="110">
        <f t="shared" si="14"/>
        <v>27751.877897354094</v>
      </c>
      <c r="X40" s="110">
        <f t="shared" si="14"/>
        <v>0</v>
      </c>
      <c r="Y40" s="110">
        <f t="shared" si="14"/>
        <v>27751.877897354094</v>
      </c>
      <c r="Z40" s="110">
        <f t="shared" si="14"/>
        <v>27751.877897354094</v>
      </c>
      <c r="AA40" s="110">
        <f t="shared" si="14"/>
        <v>28472.705894687966</v>
      </c>
      <c r="AB40" s="110">
        <f t="shared" si="14"/>
        <v>28472.705894687966</v>
      </c>
      <c r="AC40" s="110">
        <f t="shared" si="14"/>
        <v>0</v>
      </c>
    </row>
    <row r="41" spans="1:29" s="51" customFormat="1">
      <c r="B41" s="71" t="s">
        <v>267</v>
      </c>
      <c r="C41" s="110">
        <v>0</v>
      </c>
      <c r="D41" s="71" t="s">
        <v>268</v>
      </c>
      <c r="E41" s="110">
        <f t="shared" ref="E41:AB41" si="15">E38+E39-E40</f>
        <v>0</v>
      </c>
      <c r="F41" s="110">
        <f t="shared" si="15"/>
        <v>0</v>
      </c>
      <c r="G41" s="110">
        <f>G38+G39-G40</f>
        <v>0</v>
      </c>
      <c r="H41" s="110">
        <f t="shared" si="15"/>
        <v>0</v>
      </c>
      <c r="I41" s="110"/>
      <c r="J41" s="110">
        <f t="shared" si="15"/>
        <v>0</v>
      </c>
      <c r="K41" s="110">
        <f t="shared" si="15"/>
        <v>0</v>
      </c>
      <c r="L41" s="110">
        <f t="shared" si="15"/>
        <v>0</v>
      </c>
      <c r="M41" s="110">
        <f t="shared" si="15"/>
        <v>0</v>
      </c>
      <c r="N41" s="110"/>
      <c r="O41" s="110">
        <f t="shared" si="15"/>
        <v>0</v>
      </c>
      <c r="P41" s="110">
        <f t="shared" si="15"/>
        <v>0</v>
      </c>
      <c r="Q41" s="110">
        <f t="shared" si="15"/>
        <v>0</v>
      </c>
      <c r="R41" s="110">
        <f t="shared" si="15"/>
        <v>0</v>
      </c>
      <c r="S41" s="110"/>
      <c r="T41" s="110">
        <f t="shared" si="15"/>
        <v>0</v>
      </c>
      <c r="U41" s="110">
        <f t="shared" si="15"/>
        <v>0</v>
      </c>
      <c r="V41" s="110">
        <f t="shared" si="15"/>
        <v>0</v>
      </c>
      <c r="W41" s="110">
        <f t="shared" si="15"/>
        <v>0</v>
      </c>
      <c r="X41" s="110"/>
      <c r="Y41" s="110">
        <f t="shared" si="15"/>
        <v>0</v>
      </c>
      <c r="Z41" s="110">
        <f t="shared" si="15"/>
        <v>0</v>
      </c>
      <c r="AA41" s="110">
        <f t="shared" si="15"/>
        <v>0</v>
      </c>
      <c r="AB41" s="110">
        <f t="shared" si="15"/>
        <v>0</v>
      </c>
      <c r="AC41" s="110"/>
    </row>
    <row r="42" spans="1:29" s="51" customFormat="1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</row>
    <row r="43" spans="1:29" s="85" customFormat="1" ht="15.6">
      <c r="A43" s="52" t="s">
        <v>367</v>
      </c>
      <c r="B43" s="86" t="s">
        <v>91</v>
      </c>
      <c r="C43" s="86"/>
      <c r="D43" s="86"/>
      <c r="E43" s="84">
        <f t="shared" ref="E43:AB43" si="16">E40*E34*E35</f>
        <v>0</v>
      </c>
      <c r="F43" s="84">
        <f t="shared" si="16"/>
        <v>0</v>
      </c>
      <c r="G43" s="84">
        <f>G40*G34*G35</f>
        <v>374765949.89917767</v>
      </c>
      <c r="H43" s="84">
        <f t="shared" si="16"/>
        <v>376639779.64867353</v>
      </c>
      <c r="I43" s="84"/>
      <c r="J43" s="84">
        <f t="shared" si="16"/>
        <v>378522978.5469169</v>
      </c>
      <c r="K43" s="84">
        <f t="shared" si="16"/>
        <v>380415593.43965137</v>
      </c>
      <c r="L43" s="84">
        <f t="shared" si="16"/>
        <v>393087183.27746493</v>
      </c>
      <c r="M43" s="84">
        <f t="shared" si="16"/>
        <v>395052619.19385219</v>
      </c>
      <c r="N43" s="84">
        <f>SUM(J43:M43)</f>
        <v>1547078374.4578853</v>
      </c>
      <c r="O43" s="84">
        <f t="shared" si="16"/>
        <v>397027882.28982145</v>
      </c>
      <c r="P43" s="84">
        <f t="shared" si="16"/>
        <v>399013021.70127052</v>
      </c>
      <c r="Q43" s="84">
        <f t="shared" si="16"/>
        <v>411994609.73607212</v>
      </c>
      <c r="R43" s="84">
        <f t="shared" si="16"/>
        <v>414054582.78475243</v>
      </c>
      <c r="S43" s="84"/>
      <c r="T43" s="84">
        <f t="shared" si="16"/>
        <v>416124855.69867617</v>
      </c>
      <c r="U43" s="84">
        <f t="shared" si="16"/>
        <v>418205479.97716951</v>
      </c>
      <c r="V43" s="84">
        <f t="shared" si="16"/>
        <v>431504414.24044341</v>
      </c>
      <c r="W43" s="84">
        <f t="shared" si="16"/>
        <v>433661936.31164563</v>
      </c>
      <c r="X43" s="84"/>
      <c r="Y43" s="84">
        <f t="shared" si="16"/>
        <v>435830245.99320376</v>
      </c>
      <c r="Z43" s="84">
        <f t="shared" si="16"/>
        <v>438009397.2231698</v>
      </c>
      <c r="AA43" s="84">
        <f t="shared" si="16"/>
        <v>451633196.00692934</v>
      </c>
      <c r="AB43" s="84">
        <f t="shared" si="16"/>
        <v>453891361.98696393</v>
      </c>
      <c r="AC43" s="84"/>
    </row>
    <row r="44" spans="1:29" s="51" customFormat="1"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 spans="1:29" s="57" customFormat="1">
      <c r="B45" s="148" t="s">
        <v>471</v>
      </c>
      <c r="C45" s="53"/>
      <c r="G45" s="57">
        <v>21000</v>
      </c>
      <c r="H45" s="57">
        <v>20500</v>
      </c>
      <c r="J45" s="57">
        <f>H45</f>
        <v>20500</v>
      </c>
      <c r="K45" s="57">
        <f>J45</f>
        <v>20500</v>
      </c>
      <c r="L45" s="57">
        <v>19000</v>
      </c>
      <c r="M45" s="57">
        <f>H45</f>
        <v>20500</v>
      </c>
      <c r="N45" s="57">
        <f>SUM(N43,N31)</f>
        <v>10081707165.241852</v>
      </c>
      <c r="O45" s="57">
        <v>21000</v>
      </c>
      <c r="P45" s="57">
        <v>21000</v>
      </c>
      <c r="Q45" s="57">
        <v>19000</v>
      </c>
      <c r="R45" s="57">
        <f>M45</f>
        <v>20500</v>
      </c>
      <c r="T45" s="57">
        <v>21000</v>
      </c>
      <c r="U45" s="57">
        <v>21000</v>
      </c>
      <c r="V45" s="57">
        <v>19000</v>
      </c>
      <c r="W45" s="57">
        <f>R45</f>
        <v>20500</v>
      </c>
      <c r="Y45" s="57">
        <v>21000</v>
      </c>
      <c r="Z45" s="57">
        <v>21000</v>
      </c>
      <c r="AA45" s="57">
        <v>19000</v>
      </c>
      <c r="AB45" s="57">
        <f>W45</f>
        <v>20500</v>
      </c>
    </row>
    <row r="46" spans="1:29" s="57" customFormat="1">
      <c r="B46" s="62"/>
      <c r="C46" s="53"/>
    </row>
    <row r="47" spans="1:29">
      <c r="B47" s="114" t="s">
        <v>284</v>
      </c>
      <c r="C47" s="71">
        <v>20000</v>
      </c>
      <c r="D47" s="111" t="s">
        <v>38</v>
      </c>
      <c r="E47" s="71">
        <f>E45*E$26</f>
        <v>0</v>
      </c>
      <c r="F47" s="71">
        <f>F45*F$26</f>
        <v>0</v>
      </c>
      <c r="G47" s="71">
        <f>G45*G$26</f>
        <v>1919204542.9014359</v>
      </c>
      <c r="H47" s="71">
        <f>H45*H$26</f>
        <v>1873509196.6418779</v>
      </c>
      <c r="I47" s="71"/>
      <c r="J47" s="71">
        <f>J45*J$26</f>
        <v>1873509196.6418779</v>
      </c>
      <c r="K47" s="71">
        <f>K45*K$26</f>
        <v>1873509196.6418779</v>
      </c>
      <c r="L47" s="71">
        <f>L45*L$26</f>
        <v>7141345945.0148659</v>
      </c>
      <c r="M47" s="71">
        <f>M45*M$26</f>
        <v>0</v>
      </c>
      <c r="N47" s="71"/>
      <c r="O47" s="71">
        <f>O45*O$26</f>
        <v>0</v>
      </c>
      <c r="P47" s="71">
        <f>P45*P$26</f>
        <v>0</v>
      </c>
      <c r="Q47" s="71">
        <f>Q45*Q$26</f>
        <v>7336999258.5769176</v>
      </c>
      <c r="R47" s="71">
        <f>R45*R$26</f>
        <v>0</v>
      </c>
      <c r="S47" s="71"/>
      <c r="T47" s="71">
        <f>T45*T$26</f>
        <v>0</v>
      </c>
      <c r="U47" s="71">
        <f>U45*U$26</f>
        <v>0</v>
      </c>
      <c r="V47" s="71">
        <f>V45*V$26</f>
        <v>7532652572.1389675</v>
      </c>
      <c r="W47" s="71">
        <f>W45*W$26</f>
        <v>0</v>
      </c>
      <c r="X47" s="71"/>
      <c r="Y47" s="71">
        <f>Y45*Y$26</f>
        <v>0</v>
      </c>
      <c r="Z47" s="71">
        <f>Z45*Z$26</f>
        <v>0</v>
      </c>
      <c r="AA47" s="71">
        <f>AA45*AA$26</f>
        <v>7728305885.7010193</v>
      </c>
      <c r="AB47" s="71">
        <f>AB45*AB$26</f>
        <v>0</v>
      </c>
      <c r="AC47" s="71"/>
    </row>
    <row r="48" spans="1:29">
      <c r="B48" s="114" t="s">
        <v>285</v>
      </c>
      <c r="C48" s="71">
        <v>50</v>
      </c>
      <c r="D48" s="111" t="s">
        <v>38</v>
      </c>
      <c r="E48" s="71">
        <f t="shared" ref="E48:P48" si="17">$C48*E$7</f>
        <v>0</v>
      </c>
      <c r="F48" s="71">
        <f t="shared" si="17"/>
        <v>0</v>
      </c>
      <c r="G48" s="71">
        <f>$C48*G$7</f>
        <v>4569534.6259557996</v>
      </c>
      <c r="H48" s="71">
        <f>$C48*H$7</f>
        <v>4569534.6259557996</v>
      </c>
      <c r="I48" s="71"/>
      <c r="J48" s="71">
        <f t="shared" si="17"/>
        <v>4569534.6259557996</v>
      </c>
      <c r="K48" s="71">
        <f t="shared" si="17"/>
        <v>4569534.6259557996</v>
      </c>
      <c r="L48" s="71">
        <f t="shared" si="17"/>
        <v>4698253.9111939911</v>
      </c>
      <c r="M48" s="71">
        <f t="shared" si="17"/>
        <v>4698253.9111939911</v>
      </c>
      <c r="N48" s="71"/>
      <c r="O48" s="71">
        <f t="shared" si="17"/>
        <v>4698253.9111939911</v>
      </c>
      <c r="P48" s="71">
        <f t="shared" si="17"/>
        <v>4698253.9111939911</v>
      </c>
      <c r="Q48" s="71">
        <f t="shared" ref="Q48:AB48" si="18">$C48*Q$7</f>
        <v>4826973.1964321826</v>
      </c>
      <c r="R48" s="71">
        <f t="shared" si="18"/>
        <v>4826973.1964321826</v>
      </c>
      <c r="S48" s="71"/>
      <c r="T48" s="71">
        <f t="shared" si="18"/>
        <v>4826973.1964321826</v>
      </c>
      <c r="U48" s="71">
        <f t="shared" si="18"/>
        <v>4826973.1964321826</v>
      </c>
      <c r="V48" s="71">
        <f t="shared" si="18"/>
        <v>4955692.4816703741</v>
      </c>
      <c r="W48" s="71">
        <f t="shared" si="18"/>
        <v>4955692.4816703741</v>
      </c>
      <c r="X48" s="71"/>
      <c r="Y48" s="71">
        <f t="shared" si="18"/>
        <v>4955692.4816703741</v>
      </c>
      <c r="Z48" s="71">
        <f t="shared" si="18"/>
        <v>4955692.4816703741</v>
      </c>
      <c r="AA48" s="71">
        <f t="shared" si="18"/>
        <v>5084411.7669085655</v>
      </c>
      <c r="AB48" s="71">
        <f t="shared" si="18"/>
        <v>5084411.7669085655</v>
      </c>
      <c r="AC48" s="71"/>
    </row>
    <row r="49" spans="2:29">
      <c r="B49" s="113" t="s">
        <v>264</v>
      </c>
      <c r="C49" s="71"/>
      <c r="D49" s="111"/>
      <c r="E49" s="71">
        <f>Power!E55</f>
        <v>0</v>
      </c>
      <c r="F49" s="71">
        <f>Power!F55</f>
        <v>0</v>
      </c>
      <c r="G49" s="71">
        <f>Power!G55</f>
        <v>-28737500</v>
      </c>
      <c r="H49" s="71">
        <f>Power!H55</f>
        <v>-28737500</v>
      </c>
      <c r="I49" s="71"/>
      <c r="J49" s="71">
        <f>Power!J55</f>
        <v>-28737500</v>
      </c>
      <c r="K49" s="71">
        <f>Power!K55</f>
        <v>-28737500</v>
      </c>
      <c r="L49" s="71">
        <f>Power!L55</f>
        <v>-28737500</v>
      </c>
      <c r="M49" s="71">
        <f>Power!M55</f>
        <v>-28737500</v>
      </c>
      <c r="N49" s="71"/>
      <c r="O49" s="71">
        <f>Power!O55</f>
        <v>-28737500</v>
      </c>
      <c r="P49" s="71">
        <f>Power!P55</f>
        <v>731600.71428566054</v>
      </c>
      <c r="Q49" s="71">
        <f>Power!Q55</f>
        <v>-28737500</v>
      </c>
      <c r="R49" s="71">
        <f>Power!R55</f>
        <v>-28737500</v>
      </c>
      <c r="S49" s="71"/>
      <c r="T49" s="71">
        <f>Power!T55</f>
        <v>-28737500</v>
      </c>
      <c r="U49" s="71">
        <f>Power!U55</f>
        <v>22382499.999999978</v>
      </c>
      <c r="V49" s="71">
        <f>Power!V55</f>
        <v>-28737500</v>
      </c>
      <c r="W49" s="71">
        <f>Power!W55</f>
        <v>-28737500</v>
      </c>
      <c r="X49" s="71"/>
      <c r="Y49" s="71">
        <f>Power!Y55</f>
        <v>-28737500</v>
      </c>
      <c r="Z49" s="71">
        <f>Power!Z55</f>
        <v>-28737500</v>
      </c>
      <c r="AA49" s="71">
        <f>Power!AA55</f>
        <v>-28737500</v>
      </c>
      <c r="AB49" s="71">
        <f>Power!AB55</f>
        <v>-28737500</v>
      </c>
      <c r="AC49" s="71"/>
    </row>
    <row r="50" spans="2:29">
      <c r="B50" s="113" t="s">
        <v>286</v>
      </c>
      <c r="C50" s="71"/>
      <c r="D50" s="111"/>
      <c r="E50" s="71">
        <f>Employee!E30</f>
        <v>3465524.9999999995</v>
      </c>
      <c r="F50" s="71">
        <f>Employee!F30</f>
        <v>3552163.1249999995</v>
      </c>
      <c r="G50" s="71">
        <f>Employee!G30</f>
        <v>4610168.7656249991</v>
      </c>
      <c r="H50" s="71">
        <f>Employee!H30</f>
        <v>5139352.8187499987</v>
      </c>
      <c r="I50" s="71">
        <f>Employee!I30</f>
        <v>16767209.709374998</v>
      </c>
      <c r="J50" s="71">
        <f>Employee!J30</f>
        <v>5267836.6392187485</v>
      </c>
      <c r="K50" s="71">
        <f>Employee!K30</f>
        <v>5399532.5551992171</v>
      </c>
      <c r="L50" s="71">
        <f>Employee!L30</f>
        <v>5534520.8690791959</v>
      </c>
      <c r="M50" s="71">
        <f>Employee!M30</f>
        <v>5672883.8908061758</v>
      </c>
      <c r="N50" s="71">
        <f>Employee!N30</f>
        <v>21874773.954303335</v>
      </c>
      <c r="O50" s="71">
        <f>Employee!O30</f>
        <v>5814705.9880763292</v>
      </c>
      <c r="P50" s="71">
        <f>Employee!P30</f>
        <v>5960073.6377782365</v>
      </c>
      <c r="Q50" s="71">
        <f>Employee!Q30</f>
        <v>6109075.4787226925</v>
      </c>
      <c r="R50" s="71">
        <f>Employee!R30</f>
        <v>6261802.3656907594</v>
      </c>
      <c r="S50" s="71">
        <f>Employee!S30</f>
        <v>24145657.470268019</v>
      </c>
      <c r="T50" s="71">
        <f>Employee!T30</f>
        <v>6418347.4248330276</v>
      </c>
      <c r="U50" s="71">
        <f>Employee!U30</f>
        <v>6578806.1104538534</v>
      </c>
      <c r="V50" s="71">
        <f>Employee!V30</f>
        <v>6743276.2632151982</v>
      </c>
      <c r="W50" s="71">
        <f>Employee!W30</f>
        <v>6911858.1697955774</v>
      </c>
      <c r="X50" s="71">
        <f>Employee!X30</f>
        <v>26652287.968297657</v>
      </c>
      <c r="Y50" s="71">
        <f>Employee!Y30</f>
        <v>7084654.6240404667</v>
      </c>
      <c r="Z50" s="71">
        <f>Employee!Z30</f>
        <v>7261770.9896414774</v>
      </c>
      <c r="AA50" s="71">
        <f>Employee!AA30</f>
        <v>7443315.2643825132</v>
      </c>
      <c r="AB50" s="71">
        <f>Employee!AB30</f>
        <v>7629398.1459920751</v>
      </c>
      <c r="AC50" s="71">
        <f>Employee!AC30</f>
        <v>29419139.024056531</v>
      </c>
    </row>
    <row r="51" spans="2:29">
      <c r="B51" s="113" t="str">
        <f>Sugar!B82</f>
        <v>Other Cost</v>
      </c>
      <c r="C51" s="71">
        <v>2000</v>
      </c>
      <c r="D51" s="111" t="s">
        <v>287</v>
      </c>
      <c r="E51" s="71">
        <f t="shared" ref="E51:AB51" si="19">$C51*E$20</f>
        <v>0</v>
      </c>
      <c r="F51" s="71">
        <f t="shared" si="19"/>
        <v>0</v>
      </c>
      <c r="G51" s="71">
        <f t="shared" si="19"/>
        <v>58575000</v>
      </c>
      <c r="H51" s="71">
        <f>$C51*H$20</f>
        <v>58575000</v>
      </c>
      <c r="I51" s="71"/>
      <c r="J51" s="71">
        <f t="shared" si="19"/>
        <v>58575000</v>
      </c>
      <c r="K51" s="71">
        <f t="shared" si="19"/>
        <v>58575000</v>
      </c>
      <c r="L51" s="71">
        <f t="shared" si="19"/>
        <v>60225000</v>
      </c>
      <c r="M51" s="71">
        <f t="shared" si="19"/>
        <v>60225000</v>
      </c>
      <c r="N51" s="71"/>
      <c r="O51" s="71">
        <f t="shared" si="19"/>
        <v>60225000</v>
      </c>
      <c r="P51" s="71">
        <f t="shared" si="19"/>
        <v>60225000</v>
      </c>
      <c r="Q51" s="71">
        <f t="shared" si="19"/>
        <v>61875000</v>
      </c>
      <c r="R51" s="71">
        <f t="shared" si="19"/>
        <v>61875000</v>
      </c>
      <c r="S51" s="71"/>
      <c r="T51" s="71">
        <f t="shared" si="19"/>
        <v>61875000</v>
      </c>
      <c r="U51" s="71">
        <f t="shared" si="19"/>
        <v>61875000</v>
      </c>
      <c r="V51" s="71">
        <f t="shared" si="19"/>
        <v>63525000</v>
      </c>
      <c r="W51" s="71">
        <f t="shared" si="19"/>
        <v>63525000</v>
      </c>
      <c r="X51" s="71"/>
      <c r="Y51" s="71">
        <f t="shared" si="19"/>
        <v>63525000</v>
      </c>
      <c r="Z51" s="71">
        <f t="shared" si="19"/>
        <v>63525000</v>
      </c>
      <c r="AA51" s="71">
        <f t="shared" si="19"/>
        <v>65175000</v>
      </c>
      <c r="AB51" s="71">
        <f t="shared" si="19"/>
        <v>65175000</v>
      </c>
      <c r="AC51" s="71"/>
    </row>
    <row r="52" spans="2:29">
      <c r="N52" s="175">
        <f>SUM(J47:M51)</f>
        <v>11051424689.327225</v>
      </c>
    </row>
    <row r="53" spans="2:29">
      <c r="N53" s="175">
        <f>-N45-N52</f>
        <v>-21133131854.569077</v>
      </c>
    </row>
    <row r="54" spans="2:29">
      <c r="B54" s="53" t="s">
        <v>487</v>
      </c>
      <c r="G54" s="51">
        <f>G49/(G20*1000)</f>
        <v>-0.98122065727699526</v>
      </c>
      <c r="H54" s="51">
        <f>H49/(H20*1000)</f>
        <v>-0.98122065727699526</v>
      </c>
      <c r="J54" s="51">
        <f>J49/(J20*1000)</f>
        <v>-0.98122065727699526</v>
      </c>
      <c r="K54" s="51">
        <f>K49/(K20*1000)</f>
        <v>-0.98122065727699526</v>
      </c>
      <c r="L54" s="51">
        <f>L49/(L20*1000)</f>
        <v>-0.954337899543379</v>
      </c>
      <c r="M54" s="51">
        <f>M49/(M20*1000)</f>
        <v>-0.954337899543379</v>
      </c>
      <c r="O54" s="51">
        <f>O49/(O20*1000)</f>
        <v>-0.954337899543379</v>
      </c>
      <c r="P54" s="51">
        <f>P49/(P20*1000)</f>
        <v>2.4295582043525464E-2</v>
      </c>
      <c r="Q54" s="51">
        <f>Q49/(Q20*1000)</f>
        <v>-0.92888888888888888</v>
      </c>
      <c r="R54" s="51">
        <f>R49/(R20*1000)</f>
        <v>-0.92888888888888888</v>
      </c>
      <c r="T54" s="51">
        <f>T49/(T20*1000)</f>
        <v>-0.92888888888888888</v>
      </c>
      <c r="U54" s="51">
        <f>U49/(U20*1000)</f>
        <v>0.72347474747474672</v>
      </c>
      <c r="V54" s="51">
        <f>V49/(V20*1000)</f>
        <v>-0.90476190476190477</v>
      </c>
      <c r="W54" s="51">
        <f>W49/(W20*1000)</f>
        <v>-0.90476190476190477</v>
      </c>
      <c r="Y54" s="51">
        <f>Y49/(Y20*1000)</f>
        <v>-0.90476190476190477</v>
      </c>
      <c r="Z54" s="51">
        <f>Z49/(Z20*1000)</f>
        <v>-0.90476190476190477</v>
      </c>
      <c r="AA54" s="51">
        <f>AA49/(AA20*1000)</f>
        <v>-0.88185654008438819</v>
      </c>
      <c r="AB54" s="51">
        <f>AB49/(AB20*1000)</f>
        <v>-0.88185654008438819</v>
      </c>
    </row>
    <row r="55" spans="2:29">
      <c r="B55" s="53" t="s">
        <v>493</v>
      </c>
      <c r="E55" s="55">
        <f>G55</f>
        <v>66.210755757654283</v>
      </c>
      <c r="F55" s="55">
        <f>E55</f>
        <v>66.210755757654283</v>
      </c>
      <c r="G55" s="51">
        <f>SUM(E47:H51)/SUM(E20:H20)/1000</f>
        <v>66.210755757654283</v>
      </c>
      <c r="H55" s="55">
        <f>G55</f>
        <v>66.210755757654283</v>
      </c>
      <c r="J55" s="55">
        <f>L55</f>
        <v>61.48490148184738</v>
      </c>
      <c r="K55" s="55">
        <f>J55</f>
        <v>61.48490148184738</v>
      </c>
      <c r="L55" s="51">
        <f>(SUM(J47:M51)-SUM(J47:K47))/SUM(J20:M20)/1000</f>
        <v>61.48490148184738</v>
      </c>
      <c r="M55" s="55">
        <f>L55</f>
        <v>61.48490148184738</v>
      </c>
      <c r="O55" s="55">
        <f>Q55</f>
        <v>61.743771261070627</v>
      </c>
      <c r="P55" s="55">
        <f>O55</f>
        <v>61.743771261070627</v>
      </c>
      <c r="Q55" s="51">
        <f>SUM(O47:R51)/SUM(O20:R20)/1000</f>
        <v>61.743771261070627</v>
      </c>
      <c r="R55" s="55">
        <f>Q55</f>
        <v>61.743771261070627</v>
      </c>
      <c r="T55" s="55">
        <f>V55</f>
        <v>61.928550171160055</v>
      </c>
      <c r="U55" s="55">
        <f>T55</f>
        <v>61.928550171160055</v>
      </c>
      <c r="V55" s="51">
        <f>SUM(T47:W51)/SUM(T20:W20)/1000</f>
        <v>61.928550171160055</v>
      </c>
      <c r="W55" s="55">
        <f>V55</f>
        <v>61.928550171160055</v>
      </c>
      <c r="Y55" s="55">
        <f>AA55</f>
        <v>61.54044470258146</v>
      </c>
      <c r="Z55" s="55">
        <f>Y55</f>
        <v>61.54044470258146</v>
      </c>
      <c r="AA55" s="51">
        <f>SUM(Y47:AB51)/SUM(Y20:AB20)/1000</f>
        <v>61.54044470258146</v>
      </c>
      <c r="AB55" s="55">
        <f>AA55</f>
        <v>61.54044470258146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F661-8896-124A-8C9C-A3C4F1205DA9}">
  <sheetPr>
    <tabColor theme="4"/>
  </sheetPr>
  <dimension ref="A1:AB104"/>
  <sheetViews>
    <sheetView showGridLines="0" zoomScaleNormal="100" workbookViewId="0">
      <pane xSplit="4" ySplit="6" topLeftCell="E42" activePane="bottomRight" state="frozen"/>
      <selection activeCell="H41" sqref="H41"/>
      <selection pane="topRight" activeCell="H41" sqref="H41"/>
      <selection pane="bottomLeft" activeCell="H41" sqref="H41"/>
      <selection pane="bottomRight" activeCell="D60" sqref="D60"/>
    </sheetView>
  </sheetViews>
  <sheetFormatPr defaultColWidth="0" defaultRowHeight="13.8" outlineLevelRow="1"/>
  <cols>
    <col min="1" max="1" width="3.33203125" style="79" customWidth="1"/>
    <col min="2" max="2" width="27.33203125" style="79" bestFit="1" customWidth="1"/>
    <col min="3" max="3" width="12" style="79" bestFit="1" customWidth="1"/>
    <col min="4" max="4" width="9.109375" style="79" bestFit="1" customWidth="1"/>
    <col min="5" max="6" width="13.44140625" style="79" customWidth="1"/>
    <col min="7" max="8" width="14.44140625" style="79" bestFit="1" customWidth="1"/>
    <col min="9" max="9" width="1.109375" style="79" customWidth="1"/>
    <col min="10" max="11" width="13.44140625" style="79" customWidth="1"/>
    <col min="12" max="12" width="14.44140625" style="79" bestFit="1" customWidth="1"/>
    <col min="13" max="13" width="14.109375" style="79" bestFit="1" customWidth="1"/>
    <col min="14" max="14" width="1" style="79" customWidth="1"/>
    <col min="15" max="16" width="13.44140625" style="79" customWidth="1"/>
    <col min="17" max="17" width="14.44140625" style="79" bestFit="1" customWidth="1"/>
    <col min="18" max="18" width="13.44140625" style="79" customWidth="1"/>
    <col min="19" max="19" width="1.44140625" style="79" customWidth="1"/>
    <col min="20" max="21" width="13.44140625" style="79" customWidth="1"/>
    <col min="22" max="22" width="14.44140625" style="79" bestFit="1" customWidth="1"/>
    <col min="23" max="23" width="13.44140625" style="79" customWidth="1"/>
    <col min="24" max="24" width="1.33203125" style="79" customWidth="1"/>
    <col min="25" max="26" width="13.44140625" style="79" customWidth="1"/>
    <col min="27" max="27" width="14.44140625" style="79" bestFit="1" customWidth="1"/>
    <col min="28" max="28" width="13.44140625" style="79" customWidth="1"/>
    <col min="29" max="29" width="3" style="79" customWidth="1"/>
    <col min="30" max="16384" width="0" style="79" hidden="1"/>
  </cols>
  <sheetData>
    <row r="1" spans="2:28" s="157" customFormat="1" ht="13.2">
      <c r="B1" s="158" t="s">
        <v>60</v>
      </c>
      <c r="C1" s="158"/>
      <c r="D1" s="158"/>
      <c r="E1" s="159">
        <v>0</v>
      </c>
      <c r="F1" s="159">
        <v>0</v>
      </c>
      <c r="G1" s="159">
        <f>330/4</f>
        <v>82.5</v>
      </c>
      <c r="H1" s="159">
        <f>330/4</f>
        <v>82.5</v>
      </c>
      <c r="I1" s="159"/>
      <c r="J1" s="159">
        <f>H1</f>
        <v>82.5</v>
      </c>
      <c r="K1" s="159">
        <f>J1</f>
        <v>82.5</v>
      </c>
      <c r="L1" s="159">
        <f>G1</f>
        <v>82.5</v>
      </c>
      <c r="M1" s="159">
        <f>H1</f>
        <v>82.5</v>
      </c>
      <c r="N1" s="159"/>
      <c r="O1" s="159">
        <f>J1</f>
        <v>82.5</v>
      </c>
      <c r="P1" s="159">
        <f>K1</f>
        <v>82.5</v>
      </c>
      <c r="Q1" s="159">
        <f>L1</f>
        <v>82.5</v>
      </c>
      <c r="R1" s="159">
        <f>M1</f>
        <v>82.5</v>
      </c>
      <c r="S1" s="159"/>
      <c r="T1" s="159">
        <f>O1</f>
        <v>82.5</v>
      </c>
      <c r="U1" s="159">
        <f>P1</f>
        <v>82.5</v>
      </c>
      <c r="V1" s="159">
        <f>Q1</f>
        <v>82.5</v>
      </c>
      <c r="W1" s="159">
        <f>R1</f>
        <v>82.5</v>
      </c>
      <c r="X1" s="159"/>
      <c r="Y1" s="159">
        <f>T1</f>
        <v>82.5</v>
      </c>
      <c r="Z1" s="159">
        <f>U1</f>
        <v>82.5</v>
      </c>
      <c r="AA1" s="159">
        <f>V1</f>
        <v>82.5</v>
      </c>
      <c r="AB1" s="159">
        <f>W1</f>
        <v>82.5</v>
      </c>
    </row>
    <row r="2" spans="2:28" s="76" customFormat="1" ht="13.2">
      <c r="B2" s="88" t="s">
        <v>58</v>
      </c>
      <c r="C2" s="88"/>
      <c r="D2" s="88"/>
      <c r="E2" s="88">
        <v>1</v>
      </c>
      <c r="F2" s="88">
        <f t="shared" ref="F2:AB2" si="0">E2+1</f>
        <v>2</v>
      </c>
      <c r="G2" s="88">
        <f t="shared" si="0"/>
        <v>3</v>
      </c>
      <c r="H2" s="88">
        <f t="shared" si="0"/>
        <v>4</v>
      </c>
      <c r="I2" s="88"/>
      <c r="J2" s="88">
        <f>H2+1</f>
        <v>5</v>
      </c>
      <c r="K2" s="88">
        <f t="shared" si="0"/>
        <v>6</v>
      </c>
      <c r="L2" s="88">
        <f t="shared" si="0"/>
        <v>7</v>
      </c>
      <c r="M2" s="88">
        <f t="shared" si="0"/>
        <v>8</v>
      </c>
      <c r="N2" s="88"/>
      <c r="O2" s="88">
        <f>M2+1</f>
        <v>9</v>
      </c>
      <c r="P2" s="88">
        <f t="shared" si="0"/>
        <v>10</v>
      </c>
      <c r="Q2" s="88">
        <f t="shared" si="0"/>
        <v>11</v>
      </c>
      <c r="R2" s="88">
        <f t="shared" si="0"/>
        <v>12</v>
      </c>
      <c r="S2" s="88"/>
      <c r="T2" s="88">
        <f>R2+1</f>
        <v>13</v>
      </c>
      <c r="U2" s="88">
        <f t="shared" si="0"/>
        <v>14</v>
      </c>
      <c r="V2" s="88">
        <f t="shared" si="0"/>
        <v>15</v>
      </c>
      <c r="W2" s="88">
        <f t="shared" si="0"/>
        <v>16</v>
      </c>
      <c r="X2" s="88"/>
      <c r="Y2" s="88">
        <f>W2+1</f>
        <v>17</v>
      </c>
      <c r="Z2" s="88">
        <f t="shared" si="0"/>
        <v>18</v>
      </c>
      <c r="AA2" s="88">
        <f t="shared" si="0"/>
        <v>19</v>
      </c>
      <c r="AB2" s="88">
        <f t="shared" si="0"/>
        <v>20</v>
      </c>
    </row>
    <row r="3" spans="2:28" s="75" customFormat="1" ht="13.2">
      <c r="B3" s="88" t="s">
        <v>59</v>
      </c>
      <c r="C3" s="87"/>
      <c r="D3" s="87"/>
      <c r="E3" s="89">
        <v>45838</v>
      </c>
      <c r="F3" s="89">
        <f>EOMONTH(E3,3)</f>
        <v>45930</v>
      </c>
      <c r="G3" s="89">
        <f>EOMONTH(F3,3)</f>
        <v>46022</v>
      </c>
      <c r="H3" s="89">
        <f>EOMONTH(G3,3)</f>
        <v>46112</v>
      </c>
      <c r="I3" s="89"/>
      <c r="J3" s="89">
        <f>EOMONTH(H3,3)</f>
        <v>46203</v>
      </c>
      <c r="K3" s="89">
        <f>EOMONTH(J3,3)</f>
        <v>46295</v>
      </c>
      <c r="L3" s="89">
        <f>EOMONTH(K3,3)</f>
        <v>46387</v>
      </c>
      <c r="M3" s="89">
        <f>EOMONTH(L3,3)</f>
        <v>46477</v>
      </c>
      <c r="N3" s="89"/>
      <c r="O3" s="89">
        <f>EOMONTH(M3,3)</f>
        <v>46568</v>
      </c>
      <c r="P3" s="89">
        <f>EOMONTH(O3,3)</f>
        <v>46660</v>
      </c>
      <c r="Q3" s="89">
        <f>EOMONTH(P3,3)</f>
        <v>46752</v>
      </c>
      <c r="R3" s="89">
        <f>EOMONTH(Q3,3)</f>
        <v>46843</v>
      </c>
      <c r="S3" s="89"/>
      <c r="T3" s="89">
        <f>EOMONTH(R3,3)</f>
        <v>46934</v>
      </c>
      <c r="U3" s="89">
        <f>EOMONTH(T3,3)</f>
        <v>47026</v>
      </c>
      <c r="V3" s="89">
        <f>EOMONTH(U3,3)</f>
        <v>47118</v>
      </c>
      <c r="W3" s="89">
        <f>EOMONTH(V3,3)</f>
        <v>47208</v>
      </c>
      <c r="X3" s="89"/>
      <c r="Y3" s="89">
        <f>EOMONTH(W3,3)</f>
        <v>47299</v>
      </c>
      <c r="Z3" s="89">
        <f>EOMONTH(Y3,3)</f>
        <v>47391</v>
      </c>
      <c r="AA3" s="89">
        <f>EOMONTH(Z3,3)</f>
        <v>47483</v>
      </c>
      <c r="AB3" s="89">
        <f>EOMONTH(AA3,3)</f>
        <v>47573</v>
      </c>
    </row>
    <row r="4" spans="2:28" s="75" customFormat="1" ht="13.2"/>
    <row r="5" spans="2:28" s="75" customFormat="1" ht="13.2">
      <c r="B5" s="76" t="s">
        <v>69</v>
      </c>
    </row>
    <row r="6" spans="2:28" s="75" customFormat="1">
      <c r="B6" s="76" t="s">
        <v>464</v>
      </c>
      <c r="E6" s="92">
        <v>0</v>
      </c>
      <c r="F6" s="92">
        <v>0</v>
      </c>
      <c r="G6" s="92">
        <v>45</v>
      </c>
      <c r="H6" s="92">
        <v>55</v>
      </c>
      <c r="I6" s="92"/>
      <c r="J6" s="92">
        <v>0</v>
      </c>
      <c r="K6" s="92">
        <v>0</v>
      </c>
      <c r="L6" s="92">
        <v>45</v>
      </c>
      <c r="M6" s="92">
        <v>65</v>
      </c>
      <c r="N6" s="92"/>
      <c r="O6" s="92">
        <v>0</v>
      </c>
      <c r="P6" s="92">
        <v>0</v>
      </c>
      <c r="Q6" s="92">
        <v>50</v>
      </c>
      <c r="R6" s="92">
        <v>70</v>
      </c>
      <c r="S6" s="92"/>
      <c r="T6" s="92">
        <v>0</v>
      </c>
      <c r="U6" s="92">
        <v>0</v>
      </c>
      <c r="V6" s="92">
        <v>50</v>
      </c>
      <c r="W6" s="92">
        <v>80</v>
      </c>
      <c r="X6" s="92"/>
      <c r="Y6" s="92">
        <v>0</v>
      </c>
      <c r="Z6" s="92">
        <v>0</v>
      </c>
      <c r="AA6" s="92">
        <v>50</v>
      </c>
      <c r="AB6" s="92">
        <v>90</v>
      </c>
    </row>
    <row r="7" spans="2:28" s="75" customFormat="1" outlineLevel="1">
      <c r="B7" s="76"/>
      <c r="C7" s="75">
        <v>550000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</row>
    <row r="8" spans="2:28" s="75" customFormat="1" outlineLevel="1">
      <c r="B8" s="75" t="s">
        <v>457</v>
      </c>
      <c r="C8" s="144">
        <f>C7/C23</f>
        <v>68.75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 spans="2:28" s="75" customFormat="1" outlineLevel="1">
      <c r="B9" s="75" t="s">
        <v>458</v>
      </c>
      <c r="C9" s="75">
        <v>8000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</row>
    <row r="10" spans="2:28" s="75" customFormat="1" outlineLevel="1">
      <c r="B10" s="76" t="s">
        <v>459</v>
      </c>
      <c r="C10" s="75">
        <v>1000000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 spans="2:28" s="75" customFormat="1" outlineLevel="1">
      <c r="B11" s="76"/>
      <c r="C11" s="75">
        <f>C10/C9</f>
        <v>125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</row>
    <row r="12" spans="2:28" s="75" customFormat="1" outlineLevel="1">
      <c r="B12" s="76"/>
      <c r="C12" s="75">
        <v>140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</row>
    <row r="13" spans="2:28" s="75" customFormat="1" outlineLevel="1">
      <c r="B13" s="76"/>
      <c r="C13" s="75">
        <f>C12*C9*95%</f>
        <v>1064000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</row>
    <row r="14" spans="2:28" s="75" customFormat="1" ht="13.2"/>
    <row r="15" spans="2:28" s="146" customFormat="1" ht="13.2" outlineLevel="1">
      <c r="B15" s="146" t="s">
        <v>466</v>
      </c>
      <c r="E15" s="146">
        <v>0</v>
      </c>
      <c r="F15" s="146">
        <v>0</v>
      </c>
      <c r="G15" s="146">
        <v>0.7</v>
      </c>
      <c r="H15" s="146">
        <v>0.7</v>
      </c>
      <c r="J15" s="146">
        <v>0</v>
      </c>
      <c r="K15" s="146">
        <v>0</v>
      </c>
      <c r="L15" s="146">
        <v>0.75</v>
      </c>
      <c r="M15" s="146">
        <v>0.75</v>
      </c>
      <c r="O15" s="146">
        <v>0</v>
      </c>
      <c r="P15" s="146">
        <v>0</v>
      </c>
      <c r="Q15" s="146">
        <v>0.8</v>
      </c>
      <c r="R15" s="146">
        <v>0.8</v>
      </c>
      <c r="T15" s="146">
        <v>0</v>
      </c>
      <c r="U15" s="146">
        <v>0</v>
      </c>
      <c r="V15" s="146">
        <v>0.87</v>
      </c>
      <c r="W15" s="146">
        <v>0.87</v>
      </c>
      <c r="Y15" s="146">
        <v>0</v>
      </c>
      <c r="Z15" s="146">
        <v>0</v>
      </c>
      <c r="AA15" s="146">
        <v>0.95</v>
      </c>
      <c r="AB15" s="146">
        <v>0.95</v>
      </c>
    </row>
    <row r="16" spans="2:28" s="75" customFormat="1" ht="13.2" outlineLevel="1"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</row>
    <row r="17" spans="1:28" s="144" customFormat="1" ht="13.2" outlineLevel="1">
      <c r="B17" s="144" t="s">
        <v>467</v>
      </c>
      <c r="E17" s="146">
        <v>0</v>
      </c>
      <c r="F17" s="146">
        <v>0</v>
      </c>
      <c r="G17" s="146">
        <v>0.1</v>
      </c>
      <c r="H17" s="146">
        <v>0.11749999999999999</v>
      </c>
      <c r="I17" s="146"/>
      <c r="J17" s="146">
        <v>0</v>
      </c>
      <c r="K17" s="146">
        <v>0</v>
      </c>
      <c r="L17" s="146">
        <f>G17</f>
        <v>0.1</v>
      </c>
      <c r="M17" s="146">
        <f>H17</f>
        <v>0.11749999999999999</v>
      </c>
      <c r="N17" s="146"/>
      <c r="O17" s="146">
        <v>0</v>
      </c>
      <c r="P17" s="146">
        <v>0</v>
      </c>
      <c r="Q17" s="146">
        <f>L17</f>
        <v>0.1</v>
      </c>
      <c r="R17" s="146">
        <f>M17</f>
        <v>0.11749999999999999</v>
      </c>
      <c r="T17" s="144">
        <v>0</v>
      </c>
      <c r="U17" s="144">
        <v>0</v>
      </c>
      <c r="V17" s="146">
        <f>Q17</f>
        <v>0.1</v>
      </c>
      <c r="W17" s="146">
        <f>R17</f>
        <v>0.11749999999999999</v>
      </c>
      <c r="Y17" s="144">
        <v>0</v>
      </c>
      <c r="Z17" s="144">
        <v>0</v>
      </c>
      <c r="AA17" s="146">
        <f>V17</f>
        <v>0.1</v>
      </c>
      <c r="AB17" s="146">
        <f>W17</f>
        <v>0.11749999999999999</v>
      </c>
    </row>
    <row r="18" spans="1:28" s="75" customFormat="1" ht="13.2" outlineLevel="1">
      <c r="B18" s="75" t="s">
        <v>468</v>
      </c>
      <c r="E18" s="146">
        <v>0</v>
      </c>
      <c r="F18" s="146">
        <v>0</v>
      </c>
      <c r="G18" s="146">
        <v>4.4999999999999998E-2</v>
      </c>
      <c r="H18" s="146">
        <v>4.4999999999999998E-2</v>
      </c>
      <c r="I18" s="146"/>
      <c r="J18" s="146">
        <v>0</v>
      </c>
      <c r="K18" s="146">
        <v>0</v>
      </c>
      <c r="L18" s="146">
        <v>4.4999999999999998E-2</v>
      </c>
      <c r="M18" s="146">
        <v>4.4999999999999998E-2</v>
      </c>
      <c r="N18" s="146"/>
      <c r="O18" s="146">
        <v>0</v>
      </c>
      <c r="P18" s="146">
        <v>0</v>
      </c>
      <c r="Q18" s="146">
        <v>4.4999999999999998E-2</v>
      </c>
      <c r="R18" s="146">
        <v>4.4999999999999998E-2</v>
      </c>
      <c r="T18" s="144">
        <v>0</v>
      </c>
      <c r="U18" s="144">
        <v>0</v>
      </c>
      <c r="V18" s="144">
        <v>4.4999999999999998E-2</v>
      </c>
      <c r="W18" s="144">
        <v>4.4999999999999998E-2</v>
      </c>
      <c r="Y18" s="144">
        <v>0</v>
      </c>
      <c r="Z18" s="144">
        <v>0</v>
      </c>
      <c r="AA18" s="144">
        <v>4.4999999999999998E-2</v>
      </c>
      <c r="AB18" s="144">
        <v>4.4999999999999998E-2</v>
      </c>
    </row>
    <row r="19" spans="1:28" s="75" customFormat="1" ht="13.2" outlineLevel="1">
      <c r="B19" s="75" t="s">
        <v>469</v>
      </c>
      <c r="E19" s="146">
        <v>0</v>
      </c>
      <c r="F19" s="146">
        <v>0</v>
      </c>
      <c r="G19" s="146">
        <v>0.28000000000000003</v>
      </c>
      <c r="H19" s="146">
        <v>0.24</v>
      </c>
      <c r="I19" s="146"/>
      <c r="J19" s="146">
        <v>0</v>
      </c>
      <c r="K19" s="146">
        <v>0</v>
      </c>
      <c r="L19" s="146">
        <v>0.28000000000000003</v>
      </c>
      <c r="M19" s="146">
        <v>0.24</v>
      </c>
      <c r="N19" s="146"/>
      <c r="O19" s="146">
        <v>0</v>
      </c>
      <c r="P19" s="146">
        <v>0</v>
      </c>
      <c r="Q19" s="146">
        <v>0.28000000000000003</v>
      </c>
      <c r="R19" s="146">
        <v>0.24</v>
      </c>
      <c r="T19" s="144">
        <v>0</v>
      </c>
      <c r="U19" s="144">
        <v>0</v>
      </c>
      <c r="V19" s="144">
        <v>0.28000000000000003</v>
      </c>
      <c r="W19" s="144">
        <v>0.24</v>
      </c>
      <c r="Y19" s="144">
        <v>0</v>
      </c>
      <c r="Z19" s="144">
        <v>0</v>
      </c>
      <c r="AA19" s="144">
        <v>0.28000000000000003</v>
      </c>
      <c r="AB19" s="144">
        <v>0.24</v>
      </c>
    </row>
    <row r="20" spans="1:28" s="75" customFormat="1" ht="13.2" outlineLevel="1">
      <c r="B20" s="75" t="s">
        <v>274</v>
      </c>
      <c r="E20" s="146">
        <v>0</v>
      </c>
      <c r="F20" s="146">
        <v>0</v>
      </c>
      <c r="G20" s="146">
        <v>0.03</v>
      </c>
      <c r="H20" s="146">
        <v>0.03</v>
      </c>
      <c r="I20" s="146"/>
      <c r="J20" s="146">
        <v>0</v>
      </c>
      <c r="K20" s="146">
        <v>0</v>
      </c>
      <c r="L20" s="146">
        <v>0.03</v>
      </c>
      <c r="M20" s="146">
        <v>0.03</v>
      </c>
      <c r="N20" s="146"/>
      <c r="O20" s="146">
        <v>0</v>
      </c>
      <c r="P20" s="146">
        <v>0</v>
      </c>
      <c r="Q20" s="146">
        <v>0.03</v>
      </c>
      <c r="R20" s="146">
        <v>0.03</v>
      </c>
      <c r="T20" s="144">
        <v>0</v>
      </c>
      <c r="U20" s="144">
        <v>0</v>
      </c>
      <c r="V20" s="144">
        <v>0.03</v>
      </c>
      <c r="W20" s="144">
        <v>0.03</v>
      </c>
      <c r="Y20" s="144">
        <v>0</v>
      </c>
      <c r="Z20" s="144">
        <v>0</v>
      </c>
      <c r="AA20" s="144">
        <v>0.03</v>
      </c>
      <c r="AB20" s="144">
        <v>0.03</v>
      </c>
    </row>
    <row r="21" spans="1:28" s="75" customFormat="1" ht="13.2" outlineLevel="1">
      <c r="G21" s="144"/>
      <c r="H21" s="144"/>
    </row>
    <row r="22" spans="1:28" s="75" customFormat="1" ht="13.2" outlineLevel="1">
      <c r="G22" s="144"/>
      <c r="H22" s="144"/>
    </row>
    <row r="23" spans="1:28" s="75" customFormat="1" ht="13.2" outlineLevel="1">
      <c r="B23" s="90" t="s">
        <v>70</v>
      </c>
      <c r="C23" s="90">
        <v>8000</v>
      </c>
      <c r="D23" s="90" t="s">
        <v>465</v>
      </c>
      <c r="E23" s="90">
        <f>$C$23*E6*E15</f>
        <v>0</v>
      </c>
      <c r="F23" s="90">
        <f t="shared" ref="F23:AB23" si="1">$C$23*F6*F15</f>
        <v>0</v>
      </c>
      <c r="G23" s="90">
        <f t="shared" si="1"/>
        <v>251999.99999999997</v>
      </c>
      <c r="H23" s="90">
        <f t="shared" si="1"/>
        <v>308000</v>
      </c>
      <c r="I23" s="90">
        <f t="shared" si="1"/>
        <v>0</v>
      </c>
      <c r="J23" s="90">
        <f t="shared" si="1"/>
        <v>0</v>
      </c>
      <c r="K23" s="90">
        <f t="shared" si="1"/>
        <v>0</v>
      </c>
      <c r="L23" s="90">
        <f>$C$23*L6*L15</f>
        <v>270000</v>
      </c>
      <c r="M23" s="90">
        <f>$C$23*M6*M15</f>
        <v>390000</v>
      </c>
      <c r="N23" s="90">
        <f>$C$23*N6*N15</f>
        <v>0</v>
      </c>
      <c r="O23" s="90">
        <f>$C$23*O6*O15</f>
        <v>0</v>
      </c>
      <c r="P23" s="90">
        <f t="shared" si="1"/>
        <v>0</v>
      </c>
      <c r="Q23" s="90">
        <f>$C$23*Q6*Q15</f>
        <v>320000</v>
      </c>
      <c r="R23" s="90">
        <f>$C$23*R6*R15</f>
        <v>448000</v>
      </c>
      <c r="S23" s="90">
        <f t="shared" si="1"/>
        <v>0</v>
      </c>
      <c r="T23" s="90">
        <f t="shared" si="1"/>
        <v>0</v>
      </c>
      <c r="U23" s="90">
        <f t="shared" si="1"/>
        <v>0</v>
      </c>
      <c r="V23" s="90">
        <f t="shared" si="1"/>
        <v>348000</v>
      </c>
      <c r="W23" s="90">
        <f t="shared" si="1"/>
        <v>556800</v>
      </c>
      <c r="X23" s="90">
        <f t="shared" si="1"/>
        <v>0</v>
      </c>
      <c r="Y23" s="90">
        <f t="shared" si="1"/>
        <v>0</v>
      </c>
      <c r="Z23" s="90">
        <f t="shared" si="1"/>
        <v>0</v>
      </c>
      <c r="AA23" s="90">
        <f t="shared" si="1"/>
        <v>380000</v>
      </c>
      <c r="AB23" s="90">
        <f t="shared" si="1"/>
        <v>684000</v>
      </c>
    </row>
    <row r="24" spans="1:28" s="75" customFormat="1" ht="13.2" outlineLevel="1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s="75" customFormat="1" ht="13.2" outlineLevel="1">
      <c r="B25" s="90" t="s">
        <v>71</v>
      </c>
      <c r="C25" s="91"/>
      <c r="D25" s="90" t="s">
        <v>48</v>
      </c>
      <c r="E25" s="90">
        <v>0</v>
      </c>
      <c r="F25" s="90">
        <v>0</v>
      </c>
      <c r="G25" s="90">
        <f t="shared" ref="G25:H28" si="2">G$23*G17</f>
        <v>25200</v>
      </c>
      <c r="H25" s="90">
        <f t="shared" si="2"/>
        <v>36190</v>
      </c>
      <c r="I25" s="90"/>
      <c r="J25" s="90">
        <v>0</v>
      </c>
      <c r="K25" s="90">
        <v>0</v>
      </c>
      <c r="L25" s="90">
        <f t="shared" ref="L25:M28" si="3">L$23*L17</f>
        <v>27000</v>
      </c>
      <c r="M25" s="90">
        <f t="shared" si="3"/>
        <v>45825</v>
      </c>
      <c r="N25" s="90">
        <f>N$23*N17</f>
        <v>0</v>
      </c>
      <c r="O25" s="90">
        <v>0</v>
      </c>
      <c r="P25" s="90">
        <v>0</v>
      </c>
      <c r="Q25" s="90">
        <f t="shared" ref="Q25:R28" si="4">Q$23*Q17</f>
        <v>32000</v>
      </c>
      <c r="R25" s="90">
        <f t="shared" si="4"/>
        <v>52640</v>
      </c>
      <c r="S25" s="90">
        <f>S$23*S17</f>
        <v>0</v>
      </c>
      <c r="T25" s="90">
        <v>0</v>
      </c>
      <c r="U25" s="90">
        <v>0</v>
      </c>
      <c r="V25" s="90">
        <f t="shared" ref="V25:W28" si="5">V$23*V17</f>
        <v>34800</v>
      </c>
      <c r="W25" s="90">
        <f t="shared" si="5"/>
        <v>65423.999999999993</v>
      </c>
      <c r="X25" s="90">
        <f>X$23*X17</f>
        <v>0</v>
      </c>
      <c r="Y25" s="90">
        <v>0</v>
      </c>
      <c r="Z25" s="90">
        <v>0</v>
      </c>
      <c r="AA25" s="90">
        <f t="shared" ref="AA25:AB28" si="6">AA$23*AA17</f>
        <v>38000</v>
      </c>
      <c r="AB25" s="90">
        <f t="shared" si="6"/>
        <v>80370</v>
      </c>
    </row>
    <row r="26" spans="1:28" s="75" customFormat="1" ht="13.2" outlineLevel="1">
      <c r="B26" s="90" t="s">
        <v>272</v>
      </c>
      <c r="C26" s="91"/>
      <c r="D26" s="90" t="s">
        <v>48</v>
      </c>
      <c r="E26" s="90">
        <v>0</v>
      </c>
      <c r="F26" s="90">
        <v>0</v>
      </c>
      <c r="G26" s="90">
        <f t="shared" si="2"/>
        <v>11339.999999999998</v>
      </c>
      <c r="H26" s="90">
        <f t="shared" si="2"/>
        <v>13860</v>
      </c>
      <c r="I26" s="90"/>
      <c r="J26" s="90">
        <v>0</v>
      </c>
      <c r="K26" s="90">
        <v>0</v>
      </c>
      <c r="L26" s="90">
        <f t="shared" si="3"/>
        <v>12150</v>
      </c>
      <c r="M26" s="90">
        <f t="shared" si="3"/>
        <v>17550</v>
      </c>
      <c r="N26" s="90"/>
      <c r="O26" s="90">
        <v>0</v>
      </c>
      <c r="P26" s="90">
        <v>0</v>
      </c>
      <c r="Q26" s="90">
        <f t="shared" si="4"/>
        <v>14400</v>
      </c>
      <c r="R26" s="90">
        <f t="shared" si="4"/>
        <v>20160</v>
      </c>
      <c r="S26" s="90"/>
      <c r="T26" s="90">
        <v>0</v>
      </c>
      <c r="U26" s="90">
        <v>0</v>
      </c>
      <c r="V26" s="90">
        <f t="shared" si="5"/>
        <v>15660</v>
      </c>
      <c r="W26" s="90">
        <f t="shared" si="5"/>
        <v>25056</v>
      </c>
      <c r="X26" s="90"/>
      <c r="Y26" s="90">
        <v>0</v>
      </c>
      <c r="Z26" s="90">
        <v>0</v>
      </c>
      <c r="AA26" s="90">
        <f t="shared" si="6"/>
        <v>17100</v>
      </c>
      <c r="AB26" s="90">
        <f t="shared" si="6"/>
        <v>30780</v>
      </c>
    </row>
    <row r="27" spans="1:28" s="75" customFormat="1" ht="13.2" outlineLevel="1">
      <c r="B27" s="90" t="s">
        <v>273</v>
      </c>
      <c r="C27" s="91"/>
      <c r="D27" s="90" t="s">
        <v>48</v>
      </c>
      <c r="E27" s="90">
        <v>0</v>
      </c>
      <c r="F27" s="90">
        <v>0</v>
      </c>
      <c r="G27" s="90">
        <f t="shared" si="2"/>
        <v>70560</v>
      </c>
      <c r="H27" s="90">
        <f t="shared" si="2"/>
        <v>73920</v>
      </c>
      <c r="I27" s="90"/>
      <c r="J27" s="90">
        <v>0</v>
      </c>
      <c r="K27" s="90">
        <v>0</v>
      </c>
      <c r="L27" s="90">
        <f t="shared" si="3"/>
        <v>75600</v>
      </c>
      <c r="M27" s="90">
        <f t="shared" si="3"/>
        <v>93600</v>
      </c>
      <c r="N27" s="90"/>
      <c r="O27" s="90">
        <v>0</v>
      </c>
      <c r="P27" s="90">
        <v>0</v>
      </c>
      <c r="Q27" s="90">
        <f t="shared" si="4"/>
        <v>89600.000000000015</v>
      </c>
      <c r="R27" s="90">
        <f t="shared" si="4"/>
        <v>107520</v>
      </c>
      <c r="S27" s="90"/>
      <c r="T27" s="90">
        <v>0</v>
      </c>
      <c r="U27" s="90">
        <v>0</v>
      </c>
      <c r="V27" s="90">
        <f t="shared" si="5"/>
        <v>97440.000000000015</v>
      </c>
      <c r="W27" s="90">
        <f t="shared" si="5"/>
        <v>133632</v>
      </c>
      <c r="X27" s="90"/>
      <c r="Y27" s="90">
        <v>0</v>
      </c>
      <c r="Z27" s="90">
        <v>0</v>
      </c>
      <c r="AA27" s="90">
        <f t="shared" si="6"/>
        <v>106400.00000000001</v>
      </c>
      <c r="AB27" s="90">
        <f t="shared" si="6"/>
        <v>164160</v>
      </c>
    </row>
    <row r="28" spans="1:28" s="75" customFormat="1" ht="13.2" outlineLevel="1">
      <c r="B28" s="90" t="s">
        <v>274</v>
      </c>
      <c r="C28" s="91"/>
      <c r="D28" s="90" t="s">
        <v>48</v>
      </c>
      <c r="E28" s="90">
        <v>0</v>
      </c>
      <c r="F28" s="90">
        <v>0</v>
      </c>
      <c r="G28" s="90">
        <f t="shared" si="2"/>
        <v>7559.9999999999991</v>
      </c>
      <c r="H28" s="90">
        <f t="shared" si="2"/>
        <v>9240</v>
      </c>
      <c r="I28" s="90"/>
      <c r="J28" s="90">
        <v>0</v>
      </c>
      <c r="K28" s="90">
        <v>0</v>
      </c>
      <c r="L28" s="90">
        <f t="shared" si="3"/>
        <v>8100</v>
      </c>
      <c r="M28" s="90">
        <f t="shared" si="3"/>
        <v>11700</v>
      </c>
      <c r="N28" s="90"/>
      <c r="O28" s="90">
        <v>0</v>
      </c>
      <c r="P28" s="90">
        <v>0</v>
      </c>
      <c r="Q28" s="90">
        <f t="shared" si="4"/>
        <v>9600</v>
      </c>
      <c r="R28" s="90">
        <f t="shared" si="4"/>
        <v>13440</v>
      </c>
      <c r="S28" s="90"/>
      <c r="T28" s="90">
        <v>0</v>
      </c>
      <c r="U28" s="90">
        <v>0</v>
      </c>
      <c r="V28" s="90">
        <f t="shared" si="5"/>
        <v>10440</v>
      </c>
      <c r="W28" s="90">
        <f t="shared" si="5"/>
        <v>16704</v>
      </c>
      <c r="X28" s="90"/>
      <c r="Y28" s="90">
        <v>0</v>
      </c>
      <c r="Z28" s="90">
        <v>0</v>
      </c>
      <c r="AA28" s="90">
        <f t="shared" si="6"/>
        <v>11400</v>
      </c>
      <c r="AB28" s="90">
        <f t="shared" si="6"/>
        <v>20520</v>
      </c>
    </row>
    <row r="29" spans="1:28" s="75" customFormat="1" ht="13.2" outlineLevel="1"/>
    <row r="30" spans="1:28" s="75" customFormat="1" ht="13.2">
      <c r="B30" s="76" t="s">
        <v>366</v>
      </c>
    </row>
    <row r="31" spans="1:28" s="77" customFormat="1" ht="13.2">
      <c r="A31" s="77" t="s">
        <v>367</v>
      </c>
      <c r="B31" s="77" t="s">
        <v>352</v>
      </c>
      <c r="K31" s="156"/>
    </row>
    <row r="32" spans="1:28" s="77" customFormat="1" ht="13.2"/>
    <row r="33" spans="1:28" s="77" customFormat="1" ht="13.2">
      <c r="B33" s="115" t="s">
        <v>357</v>
      </c>
      <c r="C33" s="115">
        <v>0</v>
      </c>
      <c r="D33" s="115" t="s">
        <v>354</v>
      </c>
      <c r="E33" s="115">
        <f>C37</f>
        <v>0</v>
      </c>
      <c r="F33" s="115">
        <f>E37</f>
        <v>0</v>
      </c>
      <c r="G33" s="115">
        <f>F37</f>
        <v>0</v>
      </c>
      <c r="H33" s="115">
        <f>G37</f>
        <v>0</v>
      </c>
      <c r="I33" s="115"/>
      <c r="J33" s="115">
        <f>H37</f>
        <v>0</v>
      </c>
      <c r="K33" s="115">
        <f t="shared" ref="K33:AB33" si="7">J37</f>
        <v>0</v>
      </c>
      <c r="L33" s="115">
        <f>K37</f>
        <v>0</v>
      </c>
      <c r="M33" s="115">
        <f t="shared" si="7"/>
        <v>390000</v>
      </c>
      <c r="N33" s="115"/>
      <c r="O33" s="115">
        <f>M37</f>
        <v>0</v>
      </c>
      <c r="P33" s="115">
        <f t="shared" si="7"/>
        <v>0</v>
      </c>
      <c r="Q33" s="115">
        <f t="shared" si="7"/>
        <v>0</v>
      </c>
      <c r="R33" s="115">
        <f t="shared" si="7"/>
        <v>448000</v>
      </c>
      <c r="S33" s="115"/>
      <c r="T33" s="115">
        <f>R37</f>
        <v>0</v>
      </c>
      <c r="U33" s="115">
        <f t="shared" si="7"/>
        <v>0</v>
      </c>
      <c r="V33" s="115">
        <f t="shared" si="7"/>
        <v>0</v>
      </c>
      <c r="W33" s="115">
        <f t="shared" si="7"/>
        <v>556800</v>
      </c>
      <c r="X33" s="115"/>
      <c r="Y33" s="115">
        <f>W37</f>
        <v>0</v>
      </c>
      <c r="Z33" s="115">
        <f t="shared" si="7"/>
        <v>0</v>
      </c>
      <c r="AA33" s="115">
        <f t="shared" si="7"/>
        <v>0</v>
      </c>
      <c r="AB33" s="115">
        <f t="shared" si="7"/>
        <v>684000</v>
      </c>
    </row>
    <row r="34" spans="1:28" s="78" customFormat="1" ht="13.2">
      <c r="B34" s="116" t="s">
        <v>353</v>
      </c>
      <c r="C34" s="116">
        <v>0</v>
      </c>
      <c r="D34" s="115" t="s">
        <v>354</v>
      </c>
      <c r="E34" s="116">
        <v>0</v>
      </c>
      <c r="F34" s="116">
        <v>0</v>
      </c>
      <c r="G34" s="116">
        <f>G23</f>
        <v>251999.99999999997</v>
      </c>
      <c r="H34" s="116">
        <f>H23</f>
        <v>308000</v>
      </c>
      <c r="I34" s="116"/>
      <c r="J34" s="116">
        <f>(($C$23/4)/Ethanol!J$1*55)*J$6</f>
        <v>0</v>
      </c>
      <c r="K34" s="116">
        <f>(($C$23/4)/Ethanol!K$1*55)*K$6</f>
        <v>0</v>
      </c>
      <c r="L34" s="116">
        <f>L23+M23</f>
        <v>660000</v>
      </c>
      <c r="M34" s="116"/>
      <c r="N34" s="116"/>
      <c r="O34" s="116">
        <f>(($C$23/4)/Ethanol!O$1*55)*O$6</f>
        <v>0</v>
      </c>
      <c r="P34" s="116">
        <f>(($C$23/4)/Ethanol!P$1*55)*P$6</f>
        <v>0</v>
      </c>
      <c r="Q34" s="116">
        <f>Q23+R23</f>
        <v>768000</v>
      </c>
      <c r="R34" s="116"/>
      <c r="S34" s="116"/>
      <c r="T34" s="116">
        <f>(($C$23/4)/Ethanol!T$1*55)*T$6</f>
        <v>0</v>
      </c>
      <c r="U34" s="116">
        <f>(($C$23/4)/Ethanol!U$1*55)*U$6</f>
        <v>0</v>
      </c>
      <c r="V34" s="116">
        <f>V23+W23</f>
        <v>904800</v>
      </c>
      <c r="W34" s="116"/>
      <c r="X34" s="116"/>
      <c r="Y34" s="116">
        <f>(($C$23/4)/Ethanol!Y$1*55)*Y$6</f>
        <v>0</v>
      </c>
      <c r="Z34" s="116">
        <f>(($C$23/4)/Ethanol!Z$1*55)*Z$6</f>
        <v>0</v>
      </c>
      <c r="AA34" s="116">
        <f>AA23+AB23</f>
        <v>1064000</v>
      </c>
      <c r="AB34" s="116"/>
    </row>
    <row r="35" spans="1:28" s="77" customFormat="1" ht="13.2">
      <c r="B35" s="115" t="s">
        <v>355</v>
      </c>
      <c r="C35" s="115">
        <f>C33+C34</f>
        <v>0</v>
      </c>
      <c r="D35" s="115" t="s">
        <v>354</v>
      </c>
      <c r="E35" s="115">
        <f>SUM(E33:E34)</f>
        <v>0</v>
      </c>
      <c r="F35" s="115">
        <f>SUM(F33:F34)</f>
        <v>0</v>
      </c>
      <c r="G35" s="115">
        <f>SUM(G33:G34)</f>
        <v>251999.99999999997</v>
      </c>
      <c r="H35" s="115">
        <f>SUM(H33:H34)</f>
        <v>308000</v>
      </c>
      <c r="I35" s="115">
        <f t="shared" ref="I35:Z35" si="8">SUM(I33:I34)</f>
        <v>0</v>
      </c>
      <c r="J35" s="115">
        <f>SUM(J33:J34)</f>
        <v>0</v>
      </c>
      <c r="K35" s="115">
        <f>SUM(K33:K34)</f>
        <v>0</v>
      </c>
      <c r="L35" s="115">
        <f>SUM(L33:L34)</f>
        <v>660000</v>
      </c>
      <c r="M35" s="115">
        <f>SUM(M33:M34)</f>
        <v>390000</v>
      </c>
      <c r="N35" s="115">
        <f t="shared" si="8"/>
        <v>0</v>
      </c>
      <c r="O35" s="115">
        <f t="shared" si="8"/>
        <v>0</v>
      </c>
      <c r="P35" s="115">
        <f t="shared" si="8"/>
        <v>0</v>
      </c>
      <c r="Q35" s="115">
        <f t="shared" si="8"/>
        <v>768000</v>
      </c>
      <c r="R35" s="115">
        <f>SUM(R33:R34)</f>
        <v>448000</v>
      </c>
      <c r="S35" s="115">
        <f t="shared" si="8"/>
        <v>0</v>
      </c>
      <c r="T35" s="115">
        <f t="shared" si="8"/>
        <v>0</v>
      </c>
      <c r="U35" s="115">
        <f t="shared" si="8"/>
        <v>0</v>
      </c>
      <c r="V35" s="115">
        <f t="shared" si="8"/>
        <v>904800</v>
      </c>
      <c r="W35" s="115">
        <f t="shared" si="8"/>
        <v>556800</v>
      </c>
      <c r="X35" s="115">
        <f t="shared" si="8"/>
        <v>0</v>
      </c>
      <c r="Y35" s="115">
        <f t="shared" si="8"/>
        <v>0</v>
      </c>
      <c r="Z35" s="115">
        <f t="shared" si="8"/>
        <v>0</v>
      </c>
      <c r="AA35" s="115">
        <f>SUM(AA33:AA34)</f>
        <v>1064000</v>
      </c>
      <c r="AB35" s="115">
        <f>SUM(AB33:AB34)</f>
        <v>684000</v>
      </c>
    </row>
    <row r="36" spans="1:28" s="78" customFormat="1" ht="13.2">
      <c r="B36" s="116" t="s">
        <v>356</v>
      </c>
      <c r="C36" s="116">
        <v>0</v>
      </c>
      <c r="D36" s="115" t="s">
        <v>354</v>
      </c>
      <c r="E36" s="116">
        <f t="shared" ref="E36:AB36" si="9">E23</f>
        <v>0</v>
      </c>
      <c r="F36" s="116">
        <f t="shared" si="9"/>
        <v>0</v>
      </c>
      <c r="G36" s="116">
        <f t="shared" si="9"/>
        <v>251999.99999999997</v>
      </c>
      <c r="H36" s="116">
        <f t="shared" si="9"/>
        <v>308000</v>
      </c>
      <c r="I36" s="116">
        <f t="shared" si="9"/>
        <v>0</v>
      </c>
      <c r="J36" s="116">
        <f t="shared" si="9"/>
        <v>0</v>
      </c>
      <c r="K36" s="116">
        <f t="shared" si="9"/>
        <v>0</v>
      </c>
      <c r="L36" s="116">
        <f t="shared" si="9"/>
        <v>270000</v>
      </c>
      <c r="M36" s="116">
        <f t="shared" si="9"/>
        <v>390000</v>
      </c>
      <c r="N36" s="116">
        <f t="shared" si="9"/>
        <v>0</v>
      </c>
      <c r="O36" s="116">
        <f t="shared" si="9"/>
        <v>0</v>
      </c>
      <c r="P36" s="116">
        <f t="shared" si="9"/>
        <v>0</v>
      </c>
      <c r="Q36" s="116">
        <f t="shared" si="9"/>
        <v>320000</v>
      </c>
      <c r="R36" s="116">
        <f t="shared" si="9"/>
        <v>448000</v>
      </c>
      <c r="S36" s="116">
        <f t="shared" si="9"/>
        <v>0</v>
      </c>
      <c r="T36" s="116">
        <f t="shared" si="9"/>
        <v>0</v>
      </c>
      <c r="U36" s="116">
        <f t="shared" si="9"/>
        <v>0</v>
      </c>
      <c r="V36" s="116">
        <f t="shared" si="9"/>
        <v>348000</v>
      </c>
      <c r="W36" s="116">
        <f t="shared" si="9"/>
        <v>556800</v>
      </c>
      <c r="X36" s="116">
        <f t="shared" si="9"/>
        <v>0</v>
      </c>
      <c r="Y36" s="116">
        <f t="shared" si="9"/>
        <v>0</v>
      </c>
      <c r="Z36" s="116">
        <f t="shared" si="9"/>
        <v>0</v>
      </c>
      <c r="AA36" s="116">
        <f t="shared" si="9"/>
        <v>380000</v>
      </c>
      <c r="AB36" s="116">
        <f t="shared" si="9"/>
        <v>684000</v>
      </c>
    </row>
    <row r="37" spans="1:28" s="77" customFormat="1" ht="13.2">
      <c r="B37" s="115" t="s">
        <v>267</v>
      </c>
      <c r="C37" s="115">
        <f>C35-C36</f>
        <v>0</v>
      </c>
      <c r="D37" s="115"/>
      <c r="E37" s="115">
        <f t="shared" ref="E37:AB37" si="10">E35-E36</f>
        <v>0</v>
      </c>
      <c r="F37" s="115">
        <f t="shared" si="10"/>
        <v>0</v>
      </c>
      <c r="G37" s="115">
        <f t="shared" si="10"/>
        <v>0</v>
      </c>
      <c r="H37" s="115">
        <f t="shared" si="10"/>
        <v>0</v>
      </c>
      <c r="I37" s="115"/>
      <c r="J37" s="115">
        <f t="shared" si="10"/>
        <v>0</v>
      </c>
      <c r="K37" s="115">
        <f t="shared" si="10"/>
        <v>0</v>
      </c>
      <c r="L37" s="115">
        <f>L35-L36</f>
        <v>390000</v>
      </c>
      <c r="M37" s="115">
        <f>M35-M36</f>
        <v>0</v>
      </c>
      <c r="N37" s="115"/>
      <c r="O37" s="115">
        <f t="shared" si="10"/>
        <v>0</v>
      </c>
      <c r="P37" s="115">
        <f t="shared" si="10"/>
        <v>0</v>
      </c>
      <c r="Q37" s="115">
        <f>Q35-Q36</f>
        <v>448000</v>
      </c>
      <c r="R37" s="115">
        <f t="shared" si="10"/>
        <v>0</v>
      </c>
      <c r="S37" s="115"/>
      <c r="T37" s="115">
        <f t="shared" si="10"/>
        <v>0</v>
      </c>
      <c r="U37" s="115">
        <f t="shared" si="10"/>
        <v>0</v>
      </c>
      <c r="V37" s="115">
        <f t="shared" si="10"/>
        <v>556800</v>
      </c>
      <c r="W37" s="115">
        <f t="shared" si="10"/>
        <v>0</v>
      </c>
      <c r="X37" s="115"/>
      <c r="Y37" s="115">
        <f t="shared" si="10"/>
        <v>0</v>
      </c>
      <c r="Z37" s="115">
        <f t="shared" si="10"/>
        <v>0</v>
      </c>
      <c r="AA37" s="115">
        <f t="shared" si="10"/>
        <v>684000</v>
      </c>
      <c r="AB37" s="115">
        <f t="shared" si="10"/>
        <v>0</v>
      </c>
    </row>
    <row r="38" spans="1:28" s="75" customFormat="1" ht="13.2"/>
    <row r="39" spans="1:28" s="75" customFormat="1" ht="13.2">
      <c r="B39" s="76" t="s">
        <v>358</v>
      </c>
    </row>
    <row r="40" spans="1:28" s="75" customFormat="1" ht="13.2">
      <c r="A40" s="77" t="s">
        <v>367</v>
      </c>
      <c r="B40" s="76" t="s">
        <v>275</v>
      </c>
    </row>
    <row r="41" spans="1:28" s="76" customFormat="1" ht="13.2">
      <c r="B41" s="115" t="s">
        <v>357</v>
      </c>
      <c r="C41" s="115"/>
      <c r="D41" s="115"/>
      <c r="E41" s="115">
        <f>D44</f>
        <v>50357.142857142855</v>
      </c>
      <c r="F41" s="115">
        <f>E44</f>
        <v>30178.571428571428</v>
      </c>
      <c r="G41" s="115">
        <f>F44</f>
        <v>6035.7142857142826</v>
      </c>
      <c r="H41" s="115">
        <f>G44</f>
        <v>15617.857142857141</v>
      </c>
      <c r="I41" s="115"/>
      <c r="J41" s="115">
        <f>H44</f>
        <v>36265.5</v>
      </c>
      <c r="K41" s="115">
        <f t="shared" ref="K41:AB41" si="11">J44</f>
        <v>18132.75</v>
      </c>
      <c r="L41" s="115">
        <f>K44</f>
        <v>1813.2749999999996</v>
      </c>
      <c r="M41" s="115">
        <f t="shared" si="11"/>
        <v>11525.310000000001</v>
      </c>
      <c r="N41" s="115"/>
      <c r="O41" s="115">
        <f>M44</f>
        <v>38424.707699999999</v>
      </c>
      <c r="P41" s="115">
        <f t="shared" si="11"/>
        <v>19212.35385</v>
      </c>
      <c r="Q41" s="115">
        <f>P44</f>
        <v>1921.235385</v>
      </c>
      <c r="R41" s="115">
        <f t="shared" si="11"/>
        <v>13568.494154</v>
      </c>
      <c r="S41" s="115"/>
      <c r="T41" s="115">
        <f>R44</f>
        <v>44359.691083179998</v>
      </c>
      <c r="U41" s="115">
        <f t="shared" si="11"/>
        <v>22179.845541589999</v>
      </c>
      <c r="V41" s="115">
        <f t="shared" si="11"/>
        <v>2217.9845541590003</v>
      </c>
      <c r="W41" s="115">
        <f t="shared" si="11"/>
        <v>14807.193821663601</v>
      </c>
      <c r="X41" s="115"/>
      <c r="Y41" s="115">
        <f>W44</f>
        <v>53754.899860514604</v>
      </c>
      <c r="Z41" s="115">
        <f t="shared" si="11"/>
        <v>26877.449930257302</v>
      </c>
      <c r="AA41" s="115">
        <f t="shared" si="11"/>
        <v>2687.744993025728</v>
      </c>
      <c r="AB41" s="115">
        <f t="shared" si="11"/>
        <v>16275.09799721029</v>
      </c>
    </row>
    <row r="42" spans="1:28" s="75" customFormat="1" ht="13.2">
      <c r="B42" s="116" t="s">
        <v>265</v>
      </c>
      <c r="C42" s="116"/>
      <c r="D42" s="116"/>
      <c r="E42" s="116">
        <f>E25</f>
        <v>0</v>
      </c>
      <c r="F42" s="116">
        <f>F25</f>
        <v>0</v>
      </c>
      <c r="G42" s="116">
        <f>G25</f>
        <v>25200</v>
      </c>
      <c r="H42" s="116">
        <f>H25</f>
        <v>36190</v>
      </c>
      <c r="I42" s="116"/>
      <c r="J42" s="116">
        <f>J25</f>
        <v>0</v>
      </c>
      <c r="K42" s="116">
        <f>K25</f>
        <v>0</v>
      </c>
      <c r="L42" s="116">
        <f>L25</f>
        <v>27000</v>
      </c>
      <c r="M42" s="116">
        <f>M25</f>
        <v>45825</v>
      </c>
      <c r="N42" s="116"/>
      <c r="O42" s="116">
        <f>O25</f>
        <v>0</v>
      </c>
      <c r="P42" s="116">
        <f>P25</f>
        <v>0</v>
      </c>
      <c r="Q42" s="116">
        <f>Q25</f>
        <v>32000</v>
      </c>
      <c r="R42" s="116">
        <f>R25</f>
        <v>52640</v>
      </c>
      <c r="S42" s="116"/>
      <c r="T42" s="116">
        <f>T25</f>
        <v>0</v>
      </c>
      <c r="U42" s="116">
        <f>U25</f>
        <v>0</v>
      </c>
      <c r="V42" s="116">
        <f>V25</f>
        <v>34800</v>
      </c>
      <c r="W42" s="116">
        <f>W25</f>
        <v>65423.999999999993</v>
      </c>
      <c r="X42" s="116"/>
      <c r="Y42" s="116">
        <f>Y25</f>
        <v>0</v>
      </c>
      <c r="Z42" s="116">
        <f>Z25</f>
        <v>0</v>
      </c>
      <c r="AA42" s="116">
        <f>AA25</f>
        <v>38000</v>
      </c>
      <c r="AB42" s="116">
        <f>AB25</f>
        <v>80370</v>
      </c>
    </row>
    <row r="43" spans="1:28" s="75" customFormat="1" ht="13.2">
      <c r="B43" s="116" t="s">
        <v>266</v>
      </c>
      <c r="C43" s="116"/>
      <c r="D43" s="116"/>
      <c r="E43" s="116">
        <f>(E41-10000)/2</f>
        <v>20178.571428571428</v>
      </c>
      <c r="F43" s="190">
        <f>SUM(F41:F42)*80%</f>
        <v>24142.857142857145</v>
      </c>
      <c r="G43" s="116">
        <f>MIN((G42+G41)*50%,G41+G42)</f>
        <v>15617.857142857141</v>
      </c>
      <c r="H43" s="116">
        <f>MIN((H42+H41)*30%,H41+H42)</f>
        <v>15542.357142857143</v>
      </c>
      <c r="I43" s="116"/>
      <c r="J43" s="116">
        <f>J41/2</f>
        <v>18132.75</v>
      </c>
      <c r="K43" s="116">
        <f>K41*90%</f>
        <v>16319.475</v>
      </c>
      <c r="L43" s="116">
        <f>MIN((L42+L41)*60%,L41+L42)</f>
        <v>17287.965</v>
      </c>
      <c r="M43" s="116">
        <f>MIN((M42+M41)*33%,M41+M42)</f>
        <v>18925.602299999999</v>
      </c>
      <c r="N43" s="116"/>
      <c r="O43" s="116">
        <f>O41/2</f>
        <v>19212.35385</v>
      </c>
      <c r="P43" s="116">
        <f>P41*90%</f>
        <v>17291.118465</v>
      </c>
      <c r="Q43" s="116">
        <f>MIN((Q42+Q41)*60%,Q41+Q42)</f>
        <v>20352.741231</v>
      </c>
      <c r="R43" s="116">
        <f>MIN((R42+R41)*33%,R41+R42)</f>
        <v>21848.803070820002</v>
      </c>
      <c r="S43" s="116"/>
      <c r="T43" s="116">
        <f>T41/2</f>
        <v>22179.845541589999</v>
      </c>
      <c r="U43" s="116">
        <f>U41*90%</f>
        <v>19961.860987430999</v>
      </c>
      <c r="V43" s="116">
        <f>MIN((V42+V41)*60%,V41+V42)</f>
        <v>22210.790732495403</v>
      </c>
      <c r="W43" s="116">
        <f>MIN((W42+W41)*33%,W41+W42)</f>
        <v>26476.293961148986</v>
      </c>
      <c r="X43" s="116"/>
      <c r="Y43" s="116">
        <f>Y41/2</f>
        <v>26877.449930257302</v>
      </c>
      <c r="Z43" s="116">
        <f>Z41*90%</f>
        <v>24189.704937231574</v>
      </c>
      <c r="AA43" s="116">
        <f>MIN((AA42+AA41)*60%,AA41+AA42)</f>
        <v>24412.646995815438</v>
      </c>
      <c r="AB43" s="116">
        <f>MIN((AB42+AB41)*33%,AB41+AB42)</f>
        <v>31892.882339079399</v>
      </c>
    </row>
    <row r="44" spans="1:28" s="76" customFormat="1" ht="13.2">
      <c r="B44" s="115" t="s">
        <v>267</v>
      </c>
      <c r="C44" s="115"/>
      <c r="D44" s="115">
        <f>C89</f>
        <v>50357.142857142855</v>
      </c>
      <c r="E44" s="115">
        <f>E41+E42-E43</f>
        <v>30178.571428571428</v>
      </c>
      <c r="F44" s="115">
        <f>F41+F42-F43</f>
        <v>6035.7142857142826</v>
      </c>
      <c r="G44" s="115">
        <f t="shared" ref="G44:AB44" si="12">G41+G42-G43</f>
        <v>15617.857142857141</v>
      </c>
      <c r="H44" s="115">
        <f t="shared" si="12"/>
        <v>36265.5</v>
      </c>
      <c r="I44" s="115"/>
      <c r="J44" s="115">
        <f t="shared" si="12"/>
        <v>18132.75</v>
      </c>
      <c r="K44" s="115">
        <f t="shared" si="12"/>
        <v>1813.2749999999996</v>
      </c>
      <c r="L44" s="115">
        <f t="shared" si="12"/>
        <v>11525.310000000001</v>
      </c>
      <c r="M44" s="115">
        <f t="shared" si="12"/>
        <v>38424.707699999999</v>
      </c>
      <c r="N44" s="115"/>
      <c r="O44" s="115">
        <f t="shared" si="12"/>
        <v>19212.35385</v>
      </c>
      <c r="P44" s="115">
        <f t="shared" si="12"/>
        <v>1921.235385</v>
      </c>
      <c r="Q44" s="115">
        <f t="shared" si="12"/>
        <v>13568.494154</v>
      </c>
      <c r="R44" s="115">
        <f t="shared" si="12"/>
        <v>44359.691083179998</v>
      </c>
      <c r="S44" s="115"/>
      <c r="T44" s="115">
        <f t="shared" si="12"/>
        <v>22179.845541589999</v>
      </c>
      <c r="U44" s="115">
        <f t="shared" si="12"/>
        <v>2217.9845541590003</v>
      </c>
      <c r="V44" s="115">
        <f t="shared" si="12"/>
        <v>14807.193821663601</v>
      </c>
      <c r="W44" s="115">
        <f t="shared" si="12"/>
        <v>53754.899860514604</v>
      </c>
      <c r="X44" s="115"/>
      <c r="Y44" s="115">
        <f t="shared" si="12"/>
        <v>26877.449930257302</v>
      </c>
      <c r="Z44" s="115">
        <f t="shared" si="12"/>
        <v>2687.744993025728</v>
      </c>
      <c r="AA44" s="115">
        <f t="shared" si="12"/>
        <v>16275.09799721029</v>
      </c>
      <c r="AB44" s="115">
        <f t="shared" si="12"/>
        <v>64752.215658130895</v>
      </c>
    </row>
    <row r="45" spans="1:28" s="75" customFormat="1" ht="4.2" customHeight="1"/>
    <row r="46" spans="1:28" s="75" customFormat="1" ht="13.2">
      <c r="A46" s="77" t="s">
        <v>367</v>
      </c>
      <c r="B46" s="76" t="s">
        <v>22</v>
      </c>
    </row>
    <row r="47" spans="1:28" s="76" customFormat="1" ht="13.2">
      <c r="B47" s="115" t="s">
        <v>357</v>
      </c>
      <c r="C47" s="115"/>
      <c r="D47" s="115"/>
      <c r="E47" s="115">
        <f>D50</f>
        <v>7800</v>
      </c>
      <c r="F47" s="115">
        <f t="shared" ref="F47:AB47" si="13">E50</f>
        <v>3900</v>
      </c>
      <c r="G47" s="115">
        <f>F50</f>
        <v>390</v>
      </c>
      <c r="H47" s="115">
        <f>G50</f>
        <v>2346</v>
      </c>
      <c r="I47" s="115"/>
      <c r="J47" s="115">
        <f>H50</f>
        <v>6482.4</v>
      </c>
      <c r="K47" s="115">
        <f t="shared" si="13"/>
        <v>3241.2</v>
      </c>
      <c r="L47" s="115">
        <f t="shared" si="13"/>
        <v>324.11999999999989</v>
      </c>
      <c r="M47" s="115">
        <f t="shared" si="13"/>
        <v>2494.8239999999987</v>
      </c>
      <c r="N47" s="115"/>
      <c r="O47" s="115">
        <f>M50</f>
        <v>8017.9296000000013</v>
      </c>
      <c r="P47" s="115">
        <f t="shared" si="13"/>
        <v>4008.9648000000007</v>
      </c>
      <c r="Q47" s="115">
        <f t="shared" si="13"/>
        <v>400.89647999999988</v>
      </c>
      <c r="R47" s="115">
        <f t="shared" si="13"/>
        <v>2960.1792959999984</v>
      </c>
      <c r="S47" s="115"/>
      <c r="T47" s="115">
        <f>R50</f>
        <v>9248.0717184000005</v>
      </c>
      <c r="U47" s="115">
        <f t="shared" si="13"/>
        <v>4624.0358592000002</v>
      </c>
      <c r="V47" s="115">
        <f t="shared" si="13"/>
        <v>462.4035859200003</v>
      </c>
      <c r="W47" s="115">
        <f t="shared" si="13"/>
        <v>3224.4807171840002</v>
      </c>
      <c r="X47" s="115"/>
      <c r="Y47" s="115">
        <f>W50</f>
        <v>11312.1922868736</v>
      </c>
      <c r="Z47" s="115">
        <f t="shared" si="13"/>
        <v>5656.0961434368</v>
      </c>
      <c r="AA47" s="115">
        <f t="shared" si="13"/>
        <v>565.60961434367982</v>
      </c>
      <c r="AB47" s="115">
        <f t="shared" si="13"/>
        <v>3533.1219228687351</v>
      </c>
    </row>
    <row r="48" spans="1:28" s="75" customFormat="1" ht="13.2">
      <c r="B48" s="116" t="s">
        <v>265</v>
      </c>
      <c r="C48" s="116"/>
      <c r="D48" s="116"/>
      <c r="E48" s="116">
        <f>E26</f>
        <v>0</v>
      </c>
      <c r="F48" s="116">
        <f>F26</f>
        <v>0</v>
      </c>
      <c r="G48" s="116">
        <f>G26</f>
        <v>11339.999999999998</v>
      </c>
      <c r="H48" s="116">
        <f>H26</f>
        <v>13860</v>
      </c>
      <c r="I48" s="116"/>
      <c r="J48" s="116">
        <f>J26</f>
        <v>0</v>
      </c>
      <c r="K48" s="116">
        <f>K26</f>
        <v>0</v>
      </c>
      <c r="L48" s="116">
        <f>L26</f>
        <v>12150</v>
      </c>
      <c r="M48" s="116">
        <f>M26</f>
        <v>17550</v>
      </c>
      <c r="N48" s="116"/>
      <c r="O48" s="116">
        <f>O26</f>
        <v>0</v>
      </c>
      <c r="P48" s="116">
        <f>P26</f>
        <v>0</v>
      </c>
      <c r="Q48" s="116">
        <f>Q26</f>
        <v>14400</v>
      </c>
      <c r="R48" s="116">
        <f>R26</f>
        <v>20160</v>
      </c>
      <c r="S48" s="116"/>
      <c r="T48" s="116">
        <f>T26</f>
        <v>0</v>
      </c>
      <c r="U48" s="116">
        <f>U26</f>
        <v>0</v>
      </c>
      <c r="V48" s="116">
        <f>V26</f>
        <v>15660</v>
      </c>
      <c r="W48" s="116">
        <f>W26</f>
        <v>25056</v>
      </c>
      <c r="X48" s="116"/>
      <c r="Y48" s="116">
        <f>Y26</f>
        <v>0</v>
      </c>
      <c r="Z48" s="116">
        <f>Z26</f>
        <v>0</v>
      </c>
      <c r="AA48" s="116">
        <f>AA26</f>
        <v>17100</v>
      </c>
      <c r="AB48" s="116">
        <f>AB26</f>
        <v>30780</v>
      </c>
    </row>
    <row r="49" spans="1:28" s="75" customFormat="1" ht="13.2">
      <c r="B49" s="116" t="s">
        <v>266</v>
      </c>
      <c r="C49" s="116"/>
      <c r="D49" s="116"/>
      <c r="E49" s="116">
        <f>E47/2</f>
        <v>3900</v>
      </c>
      <c r="F49" s="116">
        <f>F47*90%</f>
        <v>3510</v>
      </c>
      <c r="G49" s="116">
        <f>MIN((G48+G47)*80%,G47+G48)</f>
        <v>9383.9999999999982</v>
      </c>
      <c r="H49" s="116">
        <f>MIN((H48+H47)*60%,H47+H48)</f>
        <v>9723.6</v>
      </c>
      <c r="I49" s="116">
        <f>IFERROR(I$48*(I$1-$C$50)/I$1+I$47,0)</f>
        <v>0</v>
      </c>
      <c r="J49" s="116">
        <f>J47/2</f>
        <v>3241.2</v>
      </c>
      <c r="K49" s="116">
        <f>K47*90%</f>
        <v>2917.08</v>
      </c>
      <c r="L49" s="116">
        <f>MIN((L48+L47)*80%,L47+L48)</f>
        <v>9979.2960000000003</v>
      </c>
      <c r="M49" s="116">
        <f>MIN((M48+M47)*60%,M47+M48)</f>
        <v>12026.894399999999</v>
      </c>
      <c r="N49" s="116">
        <f>IFERROR(N$48*(N$1-$C$50)/N$1+N$47,0)</f>
        <v>0</v>
      </c>
      <c r="O49" s="116">
        <f>O47/2</f>
        <v>4008.9648000000007</v>
      </c>
      <c r="P49" s="116">
        <f>P47*90%</f>
        <v>3608.0683200000008</v>
      </c>
      <c r="Q49" s="116">
        <f>MIN((Q48+Q47)*80%,Q47+Q48)</f>
        <v>11840.717184000001</v>
      </c>
      <c r="R49" s="116">
        <f>MIN((R48+R47)*60%,R47+R48)</f>
        <v>13872.107577599998</v>
      </c>
      <c r="S49" s="116">
        <f>IFERROR(S$48*(S$1-$C$50)/S$1+S$47,0)</f>
        <v>0</v>
      </c>
      <c r="T49" s="116">
        <f>T47/2</f>
        <v>4624.0358592000002</v>
      </c>
      <c r="U49" s="116">
        <f>U47*90%</f>
        <v>4161.6322732799999</v>
      </c>
      <c r="V49" s="116">
        <f>MIN((V48+V47)*80%,V47+V48)</f>
        <v>12897.922868736001</v>
      </c>
      <c r="W49" s="116">
        <f>MIN((W48+W47)*60%,W47+W48)</f>
        <v>16968.2884303104</v>
      </c>
      <c r="X49" s="116">
        <f>IFERROR(X$48*(X$1-$C$50)/X$1+X$47,0)</f>
        <v>0</v>
      </c>
      <c r="Y49" s="116">
        <f>Y47/2</f>
        <v>5656.0961434368</v>
      </c>
      <c r="Z49" s="116">
        <f>Z47*90%</f>
        <v>5090.4865290931202</v>
      </c>
      <c r="AA49" s="116">
        <f>MIN((AA48+AA47)*80%,AA47+AA48)</f>
        <v>14132.487691474946</v>
      </c>
      <c r="AB49" s="116">
        <f>MIN((AB48+AB47)*60%,AB47+AB48)</f>
        <v>20587.873153721241</v>
      </c>
    </row>
    <row r="50" spans="1:28" s="76" customFormat="1" ht="13.2">
      <c r="B50" s="115" t="s">
        <v>267</v>
      </c>
      <c r="C50" s="115">
        <v>0</v>
      </c>
      <c r="D50" s="115">
        <f>C93</f>
        <v>7800</v>
      </c>
      <c r="E50" s="115">
        <f>E47+E48-E49</f>
        <v>3900</v>
      </c>
      <c r="F50" s="115">
        <f>F47+F48-F49</f>
        <v>390</v>
      </c>
      <c r="G50" s="115">
        <f>G47+G48-G49</f>
        <v>2346</v>
      </c>
      <c r="H50" s="115">
        <f>H47+H48-H49</f>
        <v>6482.4</v>
      </c>
      <c r="I50" s="115"/>
      <c r="J50" s="115">
        <f t="shared" ref="J50:AB50" si="14">J47+J48-J49</f>
        <v>3241.2</v>
      </c>
      <c r="K50" s="115">
        <f t="shared" si="14"/>
        <v>324.11999999999989</v>
      </c>
      <c r="L50" s="115">
        <f t="shared" si="14"/>
        <v>2494.8239999999987</v>
      </c>
      <c r="M50" s="115">
        <f t="shared" si="14"/>
        <v>8017.9296000000013</v>
      </c>
      <c r="N50" s="115"/>
      <c r="O50" s="115">
        <f t="shared" si="14"/>
        <v>4008.9648000000007</v>
      </c>
      <c r="P50" s="115">
        <f t="shared" si="14"/>
        <v>400.89647999999988</v>
      </c>
      <c r="Q50" s="115">
        <f t="shared" si="14"/>
        <v>2960.1792959999984</v>
      </c>
      <c r="R50" s="115">
        <f t="shared" si="14"/>
        <v>9248.0717184000005</v>
      </c>
      <c r="S50" s="115"/>
      <c r="T50" s="115">
        <f t="shared" si="14"/>
        <v>4624.0358592000002</v>
      </c>
      <c r="U50" s="115">
        <f t="shared" si="14"/>
        <v>462.4035859200003</v>
      </c>
      <c r="V50" s="115">
        <f t="shared" si="14"/>
        <v>3224.4807171840002</v>
      </c>
      <c r="W50" s="115">
        <f t="shared" si="14"/>
        <v>11312.1922868736</v>
      </c>
      <c r="X50" s="115"/>
      <c r="Y50" s="115">
        <f t="shared" si="14"/>
        <v>5656.0961434368</v>
      </c>
      <c r="Z50" s="115">
        <f t="shared" si="14"/>
        <v>565.60961434367982</v>
      </c>
      <c r="AA50" s="115">
        <f t="shared" si="14"/>
        <v>3533.1219228687351</v>
      </c>
      <c r="AB50" s="115">
        <f t="shared" si="14"/>
        <v>13725.248769147493</v>
      </c>
    </row>
    <row r="51" spans="1:28" s="75" customFormat="1" ht="4.2" customHeight="1">
      <c r="B51" s="76"/>
    </row>
    <row r="52" spans="1:28" s="75" customFormat="1" ht="13.2">
      <c r="A52" s="77" t="s">
        <v>367</v>
      </c>
      <c r="B52" s="76" t="s">
        <v>276</v>
      </c>
    </row>
    <row r="53" spans="1:28" s="76" customFormat="1" ht="13.2">
      <c r="B53" s="115" t="s">
        <v>357</v>
      </c>
      <c r="C53" s="115"/>
      <c r="D53" s="115"/>
      <c r="E53" s="115">
        <f>Power!E70</f>
        <v>84859.794166666674</v>
      </c>
      <c r="F53" s="115">
        <f>Power!F70</f>
        <v>84859.794166666674</v>
      </c>
      <c r="G53" s="115">
        <f>Power!G70</f>
        <v>84859.794166666674</v>
      </c>
      <c r="H53" s="115">
        <f>Power!H70</f>
        <v>89169.794166666688</v>
      </c>
      <c r="I53" s="115"/>
      <c r="J53" s="115">
        <f>Power!J70</f>
        <v>88839.794166666688</v>
      </c>
      <c r="K53" s="115">
        <f>Power!K70</f>
        <v>58589.794166666688</v>
      </c>
      <c r="L53" s="115">
        <f>Power!L70</f>
        <v>28339.794166666688</v>
      </c>
      <c r="M53" s="115">
        <f>Power!M70</f>
        <v>37689.794166666688</v>
      </c>
      <c r="N53" s="115"/>
      <c r="O53" s="115">
        <f>Power!O70</f>
        <v>49039.794166666688</v>
      </c>
      <c r="P53" s="115">
        <f>Power!P70</f>
        <v>18789.794166666688</v>
      </c>
      <c r="Q53" s="115">
        <f>Power!Q70</f>
        <v>0</v>
      </c>
      <c r="R53" s="115">
        <f>Power!R70</f>
        <v>19350.000000000015</v>
      </c>
      <c r="S53" s="115"/>
      <c r="T53" s="115">
        <f>Power!T70</f>
        <v>40620.000000000015</v>
      </c>
      <c r="U53" s="115">
        <f>Power!U70</f>
        <v>10370.000000000015</v>
      </c>
      <c r="V53" s="115">
        <f>Power!V70</f>
        <v>0</v>
      </c>
      <c r="W53" s="115">
        <f>Power!W70</f>
        <v>27190.000000000015</v>
      </c>
      <c r="X53" s="115"/>
      <c r="Y53" s="115">
        <f>Power!Y70</f>
        <v>66572</v>
      </c>
      <c r="Z53" s="115">
        <f>Power!Z70</f>
        <v>36322</v>
      </c>
      <c r="AA53" s="115">
        <f>Power!AA70</f>
        <v>6072</v>
      </c>
      <c r="AB53" s="115">
        <f>Power!AB70</f>
        <v>42222.000000000015</v>
      </c>
    </row>
    <row r="54" spans="1:28" s="75" customFormat="1" ht="13.2">
      <c r="B54" s="116" t="s">
        <v>265</v>
      </c>
      <c r="C54" s="116"/>
      <c r="D54" s="116"/>
      <c r="E54" s="116">
        <f>Power!E71</f>
        <v>0</v>
      </c>
      <c r="F54" s="116">
        <f>Power!F71</f>
        <v>0</v>
      </c>
      <c r="G54" s="116">
        <f>Power!G71</f>
        <v>70560</v>
      </c>
      <c r="H54" s="116">
        <f>Power!H71</f>
        <v>73920</v>
      </c>
      <c r="I54" s="116"/>
      <c r="J54" s="116">
        <f>Power!J71</f>
        <v>0</v>
      </c>
      <c r="K54" s="116">
        <f>Power!K71</f>
        <v>0</v>
      </c>
      <c r="L54" s="116">
        <f>Power!L71</f>
        <v>75600</v>
      </c>
      <c r="M54" s="116">
        <f>Power!M71</f>
        <v>93600</v>
      </c>
      <c r="N54" s="116"/>
      <c r="O54" s="116">
        <f>Power!O71</f>
        <v>0</v>
      </c>
      <c r="P54" s="116">
        <f>Power!P71</f>
        <v>0</v>
      </c>
      <c r="Q54" s="116">
        <f>Power!Q71</f>
        <v>89600.000000000015</v>
      </c>
      <c r="R54" s="116">
        <f>Power!R71</f>
        <v>107520</v>
      </c>
      <c r="S54" s="116"/>
      <c r="T54" s="116">
        <f>Power!T71</f>
        <v>0</v>
      </c>
      <c r="U54" s="116">
        <f>Power!U71</f>
        <v>0</v>
      </c>
      <c r="V54" s="116">
        <f>Power!V71</f>
        <v>97440.000000000015</v>
      </c>
      <c r="W54" s="116">
        <f>Power!W71</f>
        <v>133632</v>
      </c>
      <c r="X54" s="116"/>
      <c r="Y54" s="116">
        <f>Power!Y71</f>
        <v>0</v>
      </c>
      <c r="Z54" s="116">
        <f>Power!Z71</f>
        <v>0</v>
      </c>
      <c r="AA54" s="116">
        <f>Power!AA71</f>
        <v>106400.00000000001</v>
      </c>
      <c r="AB54" s="116">
        <f>Power!AB71</f>
        <v>164160</v>
      </c>
    </row>
    <row r="55" spans="1:28" s="78" customFormat="1" ht="13.2">
      <c r="B55" s="116" t="s">
        <v>278</v>
      </c>
      <c r="C55" s="117"/>
      <c r="D55" s="116"/>
      <c r="E55" s="116">
        <f>SUM(Power!E72:E73)</f>
        <v>0</v>
      </c>
      <c r="F55" s="116">
        <f>SUM(Power!F72:F73)</f>
        <v>0</v>
      </c>
      <c r="G55" s="116">
        <f>SUM(Power!G72:G73)</f>
        <v>66250</v>
      </c>
      <c r="H55" s="116">
        <f>SUM(Power!H72:H73)</f>
        <v>74250</v>
      </c>
      <c r="I55" s="116"/>
      <c r="J55" s="116">
        <f>SUM(Power!J72:J73)</f>
        <v>30250</v>
      </c>
      <c r="K55" s="116">
        <f>SUM(Power!K72:K73)</f>
        <v>30250</v>
      </c>
      <c r="L55" s="116">
        <f>SUM(Power!L72:L73)</f>
        <v>66250</v>
      </c>
      <c r="M55" s="116">
        <f>SUM(Power!M72:M73)</f>
        <v>82250</v>
      </c>
      <c r="N55" s="116"/>
      <c r="O55" s="116">
        <f>SUM(Power!O72:O73)</f>
        <v>30250</v>
      </c>
      <c r="P55" s="116">
        <f>SUM(Power!P72:P73)</f>
        <v>18789.794166666688</v>
      </c>
      <c r="Q55" s="116">
        <f>SUM(Power!Q72:Q73)</f>
        <v>70250</v>
      </c>
      <c r="R55" s="116">
        <f>SUM(Power!R72:R73)</f>
        <v>86250</v>
      </c>
      <c r="S55" s="116"/>
      <c r="T55" s="116">
        <f>SUM(Power!T72:T73)</f>
        <v>30250</v>
      </c>
      <c r="U55" s="116">
        <f>SUM(Power!U72:U73)</f>
        <v>10370.000000000015</v>
      </c>
      <c r="V55" s="116">
        <f>SUM(Power!V72:V73)</f>
        <v>70250</v>
      </c>
      <c r="W55" s="116">
        <f>SUM(Power!W72:W73)</f>
        <v>94250</v>
      </c>
      <c r="X55" s="116"/>
      <c r="Y55" s="116">
        <f>SUM(Power!Y72:Y73)</f>
        <v>30250</v>
      </c>
      <c r="Z55" s="116">
        <f>SUM(Power!Z72:Z73)</f>
        <v>30250</v>
      </c>
      <c r="AA55" s="116">
        <f>SUM(Power!AA72:AA73)</f>
        <v>70250</v>
      </c>
      <c r="AB55" s="116">
        <f>SUM(Power!AB72:AB73)</f>
        <v>102250</v>
      </c>
    </row>
    <row r="56" spans="1:28" s="75" customFormat="1" ht="13.2">
      <c r="B56" s="116" t="s">
        <v>266</v>
      </c>
      <c r="C56" s="116"/>
      <c r="D56" s="116"/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  <c r="Y56" s="116">
        <v>0</v>
      </c>
      <c r="Z56" s="116">
        <v>0</v>
      </c>
      <c r="AA56" s="116">
        <v>0</v>
      </c>
      <c r="AB56" s="116">
        <v>0</v>
      </c>
    </row>
    <row r="57" spans="1:28" s="76" customFormat="1" ht="13.2">
      <c r="B57" s="115" t="s">
        <v>267</v>
      </c>
      <c r="C57" s="115">
        <f>C50</f>
        <v>0</v>
      </c>
      <c r="D57" s="115"/>
      <c r="E57" s="115">
        <f>E53+E54-E56-E55</f>
        <v>84859.794166666674</v>
      </c>
      <c r="F57" s="115">
        <f>F53+F54-F56-F55</f>
        <v>84859.794166666674</v>
      </c>
      <c r="G57" s="115">
        <f>G53+G54-G56-G55</f>
        <v>89169.794166666688</v>
      </c>
      <c r="H57" s="115">
        <f>H53+H54-H56-H55</f>
        <v>88839.794166666688</v>
      </c>
      <c r="I57" s="115"/>
      <c r="J57" s="115">
        <f>J53+J54-J56-J55</f>
        <v>58589.794166666688</v>
      </c>
      <c r="K57" s="115">
        <f>K53+K54-K56-K55</f>
        <v>28339.794166666688</v>
      </c>
      <c r="L57" s="115">
        <f>L53+L54-L56-L55</f>
        <v>37689.794166666688</v>
      </c>
      <c r="M57" s="115">
        <f>M53+M54-M56-M55</f>
        <v>49039.794166666688</v>
      </c>
      <c r="N57" s="115"/>
      <c r="O57" s="115">
        <f>O53+O54-O56-O55</f>
        <v>18789.794166666688</v>
      </c>
      <c r="P57" s="115">
        <f>P53+P54-P56-P55</f>
        <v>0</v>
      </c>
      <c r="Q57" s="115">
        <f>Q53+Q54-Q56-Q55</f>
        <v>19350.000000000015</v>
      </c>
      <c r="R57" s="115">
        <f>R53+R54-R56-R55</f>
        <v>40620.000000000015</v>
      </c>
      <c r="S57" s="115"/>
      <c r="T57" s="115">
        <f>T53+T54-T56-T55</f>
        <v>10370.000000000015</v>
      </c>
      <c r="U57" s="115">
        <f>U53+U54-U56-U55</f>
        <v>0</v>
      </c>
      <c r="V57" s="115">
        <f>V53+V54-V56-V55</f>
        <v>27190.000000000015</v>
      </c>
      <c r="W57" s="115">
        <f>W53+W54-W56-W55</f>
        <v>66572</v>
      </c>
      <c r="X57" s="115"/>
      <c r="Y57" s="115">
        <f>Y53+Y54-Y56-Y55</f>
        <v>36322</v>
      </c>
      <c r="Z57" s="115">
        <f>Z53+Z54-Z56-Z55</f>
        <v>6072</v>
      </c>
      <c r="AA57" s="115">
        <f>AA53+AA54-AA56-AA55</f>
        <v>42222.000000000015</v>
      </c>
      <c r="AB57" s="115">
        <f>AB53+AB54-AB56-AB55</f>
        <v>104132</v>
      </c>
    </row>
    <row r="58" spans="1:28" s="75" customFormat="1" ht="4.2" customHeight="1"/>
    <row r="59" spans="1:28" s="75" customFormat="1" ht="13.2">
      <c r="A59" s="77" t="s">
        <v>367</v>
      </c>
      <c r="B59" s="76" t="s">
        <v>277</v>
      </c>
    </row>
    <row r="60" spans="1:28" s="76" customFormat="1" ht="13.2">
      <c r="B60" s="115" t="s">
        <v>357</v>
      </c>
      <c r="C60" s="115"/>
      <c r="D60" s="115">
        <v>118704</v>
      </c>
      <c r="E60" s="115">
        <v>0</v>
      </c>
      <c r="F60" s="115">
        <f t="shared" ref="F60:AB60" si="15">E63</f>
        <v>0</v>
      </c>
      <c r="G60" s="115">
        <f>F63</f>
        <v>0</v>
      </c>
      <c r="H60" s="115">
        <f>G63</f>
        <v>0</v>
      </c>
      <c r="I60" s="115"/>
      <c r="J60" s="115">
        <f>H63</f>
        <v>0</v>
      </c>
      <c r="K60" s="115">
        <f t="shared" si="15"/>
        <v>0</v>
      </c>
      <c r="L60" s="115">
        <f t="shared" si="15"/>
        <v>0</v>
      </c>
      <c r="M60" s="115">
        <f t="shared" si="15"/>
        <v>0</v>
      </c>
      <c r="N60" s="115"/>
      <c r="O60" s="115">
        <f>M63</f>
        <v>0</v>
      </c>
      <c r="P60" s="115">
        <f t="shared" si="15"/>
        <v>0</v>
      </c>
      <c r="Q60" s="115">
        <f t="shared" si="15"/>
        <v>0</v>
      </c>
      <c r="R60" s="115">
        <f t="shared" si="15"/>
        <v>0</v>
      </c>
      <c r="S60" s="115"/>
      <c r="T60" s="115">
        <f>R63</f>
        <v>0</v>
      </c>
      <c r="U60" s="115">
        <f t="shared" si="15"/>
        <v>0</v>
      </c>
      <c r="V60" s="115">
        <f t="shared" si="15"/>
        <v>0</v>
      </c>
      <c r="W60" s="115">
        <f t="shared" si="15"/>
        <v>0</v>
      </c>
      <c r="X60" s="115"/>
      <c r="Y60" s="115">
        <f>W63</f>
        <v>0</v>
      </c>
      <c r="Z60" s="115">
        <f t="shared" si="15"/>
        <v>0</v>
      </c>
      <c r="AA60" s="115">
        <f t="shared" si="15"/>
        <v>0</v>
      </c>
      <c r="AB60" s="115">
        <f t="shared" si="15"/>
        <v>0</v>
      </c>
    </row>
    <row r="61" spans="1:28" s="75" customFormat="1" ht="13.2">
      <c r="B61" s="116" t="s">
        <v>265</v>
      </c>
      <c r="C61" s="116"/>
      <c r="D61" s="116"/>
      <c r="E61" s="116">
        <f>E28</f>
        <v>0</v>
      </c>
      <c r="F61" s="116">
        <f>F28</f>
        <v>0</v>
      </c>
      <c r="G61" s="116">
        <f>G28</f>
        <v>7559.9999999999991</v>
      </c>
      <c r="H61" s="116">
        <f>H28</f>
        <v>9240</v>
      </c>
      <c r="I61" s="116"/>
      <c r="J61" s="116">
        <f>J28</f>
        <v>0</v>
      </c>
      <c r="K61" s="116">
        <f>K28</f>
        <v>0</v>
      </c>
      <c r="L61" s="116">
        <f>L28</f>
        <v>8100</v>
      </c>
      <c r="M61" s="116">
        <f>M28</f>
        <v>11700</v>
      </c>
      <c r="N61" s="116"/>
      <c r="O61" s="116">
        <f>O28</f>
        <v>0</v>
      </c>
      <c r="P61" s="116">
        <f>P28</f>
        <v>0</v>
      </c>
      <c r="Q61" s="116">
        <f>Q28</f>
        <v>9600</v>
      </c>
      <c r="R61" s="116">
        <f>R28</f>
        <v>13440</v>
      </c>
      <c r="S61" s="116"/>
      <c r="T61" s="116">
        <f>T28</f>
        <v>0</v>
      </c>
      <c r="U61" s="116">
        <f>U28</f>
        <v>0</v>
      </c>
      <c r="V61" s="116">
        <f>V28</f>
        <v>10440</v>
      </c>
      <c r="W61" s="116">
        <f>W28</f>
        <v>16704</v>
      </c>
      <c r="X61" s="116"/>
      <c r="Y61" s="116">
        <f>Y28</f>
        <v>0</v>
      </c>
      <c r="Z61" s="116">
        <f>Z28</f>
        <v>0</v>
      </c>
      <c r="AA61" s="116">
        <f>AA28</f>
        <v>11400</v>
      </c>
      <c r="AB61" s="116">
        <f>AB28</f>
        <v>20520</v>
      </c>
    </row>
    <row r="62" spans="1:28" s="75" customFormat="1" ht="13.2">
      <c r="B62" s="116" t="s">
        <v>266</v>
      </c>
      <c r="C62" s="116"/>
      <c r="D62" s="116">
        <f>SUM(E62:AB62)</f>
        <v>118704</v>
      </c>
      <c r="E62" s="116">
        <f t="shared" ref="E62:AB62" si="16">IFERROR(SUM(E60:E61)*((E$1-C$63)/E$1),0)</f>
        <v>0</v>
      </c>
      <c r="F62" s="116">
        <f t="shared" si="16"/>
        <v>0</v>
      </c>
      <c r="G62" s="116">
        <f t="shared" si="16"/>
        <v>7559.9999999999991</v>
      </c>
      <c r="H62" s="116">
        <f t="shared" si="16"/>
        <v>9240</v>
      </c>
      <c r="I62" s="116">
        <f t="shared" si="16"/>
        <v>0</v>
      </c>
      <c r="J62" s="116">
        <f t="shared" si="16"/>
        <v>0</v>
      </c>
      <c r="K62" s="116">
        <f t="shared" si="16"/>
        <v>0</v>
      </c>
      <c r="L62" s="116">
        <f t="shared" si="16"/>
        <v>8100</v>
      </c>
      <c r="M62" s="116">
        <f>IFERROR(SUM(M60:M61)*((M$1-K$63)/M$1),0)</f>
        <v>11700</v>
      </c>
      <c r="N62" s="116">
        <f t="shared" si="16"/>
        <v>0</v>
      </c>
      <c r="O62" s="116">
        <f t="shared" si="16"/>
        <v>0</v>
      </c>
      <c r="P62" s="116">
        <f t="shared" si="16"/>
        <v>0</v>
      </c>
      <c r="Q62" s="116">
        <f t="shared" si="16"/>
        <v>9600</v>
      </c>
      <c r="R62" s="116">
        <f t="shared" si="16"/>
        <v>13440</v>
      </c>
      <c r="S62" s="116">
        <f t="shared" si="16"/>
        <v>0</v>
      </c>
      <c r="T62" s="116">
        <f t="shared" si="16"/>
        <v>0</v>
      </c>
      <c r="U62" s="116">
        <f t="shared" si="16"/>
        <v>0</v>
      </c>
      <c r="V62" s="116">
        <f t="shared" si="16"/>
        <v>10440</v>
      </c>
      <c r="W62" s="116">
        <f t="shared" si="16"/>
        <v>16704</v>
      </c>
      <c r="X62" s="116">
        <f t="shared" si="16"/>
        <v>0</v>
      </c>
      <c r="Y62" s="116">
        <f t="shared" si="16"/>
        <v>0</v>
      </c>
      <c r="Z62" s="116">
        <f t="shared" si="16"/>
        <v>0</v>
      </c>
      <c r="AA62" s="116">
        <f t="shared" si="16"/>
        <v>11400</v>
      </c>
      <c r="AB62" s="116">
        <f t="shared" si="16"/>
        <v>20520</v>
      </c>
    </row>
    <row r="63" spans="1:28" s="76" customFormat="1" ht="13.2">
      <c r="B63" s="115" t="s">
        <v>267</v>
      </c>
      <c r="C63" s="115">
        <f>C57</f>
        <v>0</v>
      </c>
      <c r="D63" s="115"/>
      <c r="E63" s="115">
        <f t="shared" ref="E63:AB63" si="17">E60+E61-E62</f>
        <v>0</v>
      </c>
      <c r="F63" s="115">
        <f>F60+F61-F62</f>
        <v>0</v>
      </c>
      <c r="G63" s="115">
        <f t="shared" si="17"/>
        <v>0</v>
      </c>
      <c r="H63" s="115">
        <f>H60+H61-H62</f>
        <v>0</v>
      </c>
      <c r="I63" s="115"/>
      <c r="J63" s="115">
        <f t="shared" si="17"/>
        <v>0</v>
      </c>
      <c r="K63" s="115">
        <f t="shared" si="17"/>
        <v>0</v>
      </c>
      <c r="L63" s="115">
        <f>L60+L61-L62</f>
        <v>0</v>
      </c>
      <c r="M63" s="115">
        <f>M60+M61-M62</f>
        <v>0</v>
      </c>
      <c r="N63" s="115"/>
      <c r="O63" s="115">
        <f t="shared" si="17"/>
        <v>0</v>
      </c>
      <c r="P63" s="115">
        <f t="shared" si="17"/>
        <v>0</v>
      </c>
      <c r="Q63" s="115">
        <f t="shared" si="17"/>
        <v>0</v>
      </c>
      <c r="R63" s="115">
        <f t="shared" si="17"/>
        <v>0</v>
      </c>
      <c r="S63" s="115"/>
      <c r="T63" s="115">
        <f t="shared" si="17"/>
        <v>0</v>
      </c>
      <c r="U63" s="115">
        <f t="shared" si="17"/>
        <v>0</v>
      </c>
      <c r="V63" s="115">
        <f t="shared" si="17"/>
        <v>0</v>
      </c>
      <c r="W63" s="115">
        <f t="shared" si="17"/>
        <v>0</v>
      </c>
      <c r="X63" s="115"/>
      <c r="Y63" s="115">
        <f t="shared" si="17"/>
        <v>0</v>
      </c>
      <c r="Z63" s="115">
        <f t="shared" si="17"/>
        <v>0</v>
      </c>
      <c r="AA63" s="115">
        <f t="shared" si="17"/>
        <v>0</v>
      </c>
      <c r="AB63" s="115">
        <f t="shared" si="17"/>
        <v>0</v>
      </c>
    </row>
    <row r="64" spans="1:28" s="75" customFormat="1" ht="6" customHeight="1"/>
    <row r="65" spans="1:28" s="75" customFormat="1" ht="13.2">
      <c r="A65" s="77" t="s">
        <v>367</v>
      </c>
      <c r="B65" s="76" t="s">
        <v>359</v>
      </c>
    </row>
    <row r="66" spans="1:28" s="75" customFormat="1" ht="13.2">
      <c r="B66" s="87" t="s">
        <v>507</v>
      </c>
      <c r="C66" s="147">
        <v>38</v>
      </c>
      <c r="D66" s="87" t="s">
        <v>20</v>
      </c>
      <c r="E66" s="87">
        <v>39000</v>
      </c>
      <c r="F66" s="87">
        <f>E66</f>
        <v>39000</v>
      </c>
      <c r="G66" s="87">
        <f>$C66*1000</f>
        <v>38000</v>
      </c>
      <c r="H66" s="87">
        <f t="shared" ref="E66:P69" si="18">$C66*1000</f>
        <v>38000</v>
      </c>
      <c r="I66" s="87"/>
      <c r="J66" s="87">
        <f t="shared" si="18"/>
        <v>38000</v>
      </c>
      <c r="K66" s="87">
        <f t="shared" si="18"/>
        <v>38000</v>
      </c>
      <c r="L66" s="87">
        <f t="shared" si="18"/>
        <v>38000</v>
      </c>
      <c r="M66" s="87">
        <f t="shared" si="18"/>
        <v>38000</v>
      </c>
      <c r="N66" s="87"/>
      <c r="O66" s="87">
        <f t="shared" si="18"/>
        <v>38000</v>
      </c>
      <c r="P66" s="87">
        <f>$C66*1000</f>
        <v>38000</v>
      </c>
      <c r="Q66" s="87">
        <f t="shared" ref="Q66:AB69" si="19">$C66*1000</f>
        <v>38000</v>
      </c>
      <c r="R66" s="87">
        <f t="shared" si="19"/>
        <v>38000</v>
      </c>
      <c r="S66" s="87"/>
      <c r="T66" s="87">
        <f t="shared" si="19"/>
        <v>38000</v>
      </c>
      <c r="U66" s="87">
        <f t="shared" si="19"/>
        <v>38000</v>
      </c>
      <c r="V66" s="87">
        <f t="shared" si="19"/>
        <v>38000</v>
      </c>
      <c r="W66" s="87">
        <f t="shared" si="19"/>
        <v>38000</v>
      </c>
      <c r="X66" s="87"/>
      <c r="Y66" s="87">
        <f t="shared" si="19"/>
        <v>38000</v>
      </c>
      <c r="Z66" s="87">
        <f t="shared" si="19"/>
        <v>38000</v>
      </c>
      <c r="AA66" s="87">
        <f t="shared" si="19"/>
        <v>38000</v>
      </c>
      <c r="AB66" s="87">
        <f t="shared" si="19"/>
        <v>38000</v>
      </c>
    </row>
    <row r="67" spans="1:28" s="75" customFormat="1" ht="13.2">
      <c r="B67" s="87" t="s">
        <v>279</v>
      </c>
      <c r="C67" s="147">
        <v>11</v>
      </c>
      <c r="D67" s="87" t="s">
        <v>20</v>
      </c>
      <c r="E67" s="87">
        <f t="shared" si="18"/>
        <v>11000</v>
      </c>
      <c r="F67" s="87">
        <f t="shared" si="18"/>
        <v>11000</v>
      </c>
      <c r="G67" s="87">
        <f>$C67*1000</f>
        <v>11000</v>
      </c>
      <c r="H67" s="87">
        <f t="shared" si="18"/>
        <v>11000</v>
      </c>
      <c r="I67" s="87"/>
      <c r="J67" s="87">
        <f t="shared" si="18"/>
        <v>11000</v>
      </c>
      <c r="K67" s="87">
        <f t="shared" si="18"/>
        <v>11000</v>
      </c>
      <c r="L67" s="87">
        <f t="shared" si="18"/>
        <v>11000</v>
      </c>
      <c r="M67" s="87">
        <f t="shared" si="18"/>
        <v>11000</v>
      </c>
      <c r="N67" s="87"/>
      <c r="O67" s="87">
        <f t="shared" si="18"/>
        <v>11000</v>
      </c>
      <c r="P67" s="87">
        <f t="shared" si="18"/>
        <v>11000</v>
      </c>
      <c r="Q67" s="87">
        <f t="shared" si="19"/>
        <v>11000</v>
      </c>
      <c r="R67" s="87">
        <f>$C67*1000</f>
        <v>11000</v>
      </c>
      <c r="S67" s="87"/>
      <c r="T67" s="87">
        <f t="shared" si="19"/>
        <v>11000</v>
      </c>
      <c r="U67" s="87">
        <f t="shared" si="19"/>
        <v>11000</v>
      </c>
      <c r="V67" s="87">
        <f t="shared" si="19"/>
        <v>11000</v>
      </c>
      <c r="W67" s="87">
        <f t="shared" si="19"/>
        <v>11000</v>
      </c>
      <c r="X67" s="87"/>
      <c r="Y67" s="87">
        <f t="shared" si="19"/>
        <v>11000</v>
      </c>
      <c r="Z67" s="87">
        <f t="shared" si="19"/>
        <v>11000</v>
      </c>
      <c r="AA67" s="87">
        <f t="shared" si="19"/>
        <v>11000</v>
      </c>
      <c r="AB67" s="87">
        <f t="shared" si="19"/>
        <v>11000</v>
      </c>
    </row>
    <row r="68" spans="1:28" s="75" customFormat="1" ht="13.2">
      <c r="B68" s="87" t="s">
        <v>280</v>
      </c>
      <c r="C68" s="147">
        <v>2.5</v>
      </c>
      <c r="D68" s="87" t="s">
        <v>20</v>
      </c>
      <c r="E68" s="87">
        <f t="shared" si="18"/>
        <v>2500</v>
      </c>
      <c r="F68" s="87">
        <f t="shared" si="18"/>
        <v>2500</v>
      </c>
      <c r="G68" s="87">
        <f>$C68*1000</f>
        <v>2500</v>
      </c>
      <c r="H68" s="87">
        <f>$C68*1000</f>
        <v>2500</v>
      </c>
      <c r="I68" s="87"/>
      <c r="J68" s="87">
        <f t="shared" si="18"/>
        <v>2500</v>
      </c>
      <c r="K68" s="87">
        <f t="shared" si="18"/>
        <v>2500</v>
      </c>
      <c r="L68" s="87">
        <f t="shared" si="18"/>
        <v>2500</v>
      </c>
      <c r="M68" s="87">
        <f t="shared" si="18"/>
        <v>2500</v>
      </c>
      <c r="N68" s="87"/>
      <c r="O68" s="87">
        <f t="shared" si="18"/>
        <v>2500</v>
      </c>
      <c r="P68" s="87">
        <f t="shared" si="18"/>
        <v>2500</v>
      </c>
      <c r="Q68" s="87">
        <f t="shared" si="19"/>
        <v>2500</v>
      </c>
      <c r="R68" s="87">
        <f t="shared" si="19"/>
        <v>2500</v>
      </c>
      <c r="S68" s="87"/>
      <c r="T68" s="87">
        <f t="shared" si="19"/>
        <v>2500</v>
      </c>
      <c r="U68" s="87">
        <f t="shared" si="19"/>
        <v>2500</v>
      </c>
      <c r="V68" s="87">
        <f t="shared" si="19"/>
        <v>2500</v>
      </c>
      <c r="W68" s="87">
        <f t="shared" si="19"/>
        <v>2500</v>
      </c>
      <c r="X68" s="87"/>
      <c r="Y68" s="87">
        <f t="shared" si="19"/>
        <v>2500</v>
      </c>
      <c r="Z68" s="87">
        <f t="shared" si="19"/>
        <v>2500</v>
      </c>
      <c r="AA68" s="87">
        <f t="shared" si="19"/>
        <v>2500</v>
      </c>
      <c r="AB68" s="87">
        <f t="shared" si="19"/>
        <v>2500</v>
      </c>
    </row>
    <row r="69" spans="1:28" s="75" customFormat="1" ht="13.2">
      <c r="B69" s="87" t="s">
        <v>281</v>
      </c>
      <c r="C69" s="147">
        <v>1.2</v>
      </c>
      <c r="D69" s="87" t="s">
        <v>20</v>
      </c>
      <c r="E69" s="87">
        <f t="shared" si="18"/>
        <v>1200</v>
      </c>
      <c r="F69" s="87">
        <f t="shared" si="18"/>
        <v>1200</v>
      </c>
      <c r="G69" s="87">
        <f>$C69*1000</f>
        <v>1200</v>
      </c>
      <c r="H69" s="87">
        <f t="shared" si="18"/>
        <v>1200</v>
      </c>
      <c r="I69" s="87"/>
      <c r="J69" s="87">
        <f t="shared" si="18"/>
        <v>1200</v>
      </c>
      <c r="K69" s="87">
        <f t="shared" si="18"/>
        <v>1200</v>
      </c>
      <c r="L69" s="87">
        <f t="shared" si="18"/>
        <v>1200</v>
      </c>
      <c r="M69" s="87">
        <f t="shared" si="18"/>
        <v>1200</v>
      </c>
      <c r="N69" s="87"/>
      <c r="O69" s="87">
        <f t="shared" si="18"/>
        <v>1200</v>
      </c>
      <c r="P69" s="87">
        <f t="shared" si="18"/>
        <v>1200</v>
      </c>
      <c r="Q69" s="87">
        <f t="shared" si="19"/>
        <v>1200</v>
      </c>
      <c r="R69" s="87">
        <f t="shared" si="19"/>
        <v>1200</v>
      </c>
      <c r="S69" s="87"/>
      <c r="T69" s="87">
        <f t="shared" si="19"/>
        <v>1200</v>
      </c>
      <c r="U69" s="87">
        <f t="shared" si="19"/>
        <v>1200</v>
      </c>
      <c r="V69" s="87">
        <f t="shared" si="19"/>
        <v>1200</v>
      </c>
      <c r="W69" s="87">
        <f t="shared" si="19"/>
        <v>1200</v>
      </c>
      <c r="X69" s="87"/>
      <c r="Y69" s="87">
        <f t="shared" si="19"/>
        <v>1200</v>
      </c>
      <c r="Z69" s="87">
        <f t="shared" si="19"/>
        <v>1200</v>
      </c>
      <c r="AA69" s="87">
        <f t="shared" si="19"/>
        <v>1200</v>
      </c>
      <c r="AB69" s="87">
        <f t="shared" si="19"/>
        <v>1200</v>
      </c>
    </row>
    <row r="70" spans="1:28" s="75" customFormat="1" ht="4.2" customHeight="1"/>
    <row r="71" spans="1:28" s="75" customFormat="1" ht="13.2">
      <c r="A71" s="77" t="s">
        <v>367</v>
      </c>
      <c r="B71" s="87" t="s">
        <v>75</v>
      </c>
      <c r="C71" s="87"/>
      <c r="D71" s="87"/>
      <c r="E71" s="87">
        <f t="shared" ref="E71:AB71" si="20">E66*E43</f>
        <v>786964285.71428573</v>
      </c>
      <c r="F71" s="87">
        <f t="shared" si="20"/>
        <v>941571428.57142866</v>
      </c>
      <c r="G71" s="87">
        <f>G66*G43</f>
        <v>593478571.42857134</v>
      </c>
      <c r="H71" s="87">
        <f t="shared" si="20"/>
        <v>590609571.42857146</v>
      </c>
      <c r="I71" s="87"/>
      <c r="J71" s="87">
        <f>J66*J43</f>
        <v>689044500</v>
      </c>
      <c r="K71" s="87">
        <f t="shared" si="20"/>
        <v>620140050</v>
      </c>
      <c r="L71" s="87">
        <f t="shared" si="20"/>
        <v>656942670</v>
      </c>
      <c r="M71" s="87">
        <f t="shared" si="20"/>
        <v>719172887.39999998</v>
      </c>
      <c r="N71" s="87"/>
      <c r="O71" s="87">
        <f t="shared" si="20"/>
        <v>730069446.29999995</v>
      </c>
      <c r="P71" s="87">
        <f>P66*P43</f>
        <v>657062501.66999996</v>
      </c>
      <c r="Q71" s="87">
        <f t="shared" si="20"/>
        <v>773404166.778</v>
      </c>
      <c r="R71" s="87">
        <f t="shared" si="20"/>
        <v>830254516.69116008</v>
      </c>
      <c r="S71" s="87"/>
      <c r="T71" s="87">
        <f t="shared" si="20"/>
        <v>842834130.58042002</v>
      </c>
      <c r="U71" s="87">
        <f t="shared" si="20"/>
        <v>758550717.52237797</v>
      </c>
      <c r="V71" s="87">
        <f t="shared" si="20"/>
        <v>844010047.83482528</v>
      </c>
      <c r="W71" s="87">
        <f t="shared" si="20"/>
        <v>1006099170.5236615</v>
      </c>
      <c r="X71" s="87"/>
      <c r="Y71" s="87">
        <f t="shared" si="20"/>
        <v>1021343097.3497775</v>
      </c>
      <c r="Z71" s="87">
        <f t="shared" si="20"/>
        <v>919208787.61479986</v>
      </c>
      <c r="AA71" s="87">
        <f t="shared" si="20"/>
        <v>927680585.84098661</v>
      </c>
      <c r="AB71" s="87">
        <f t="shared" si="20"/>
        <v>1211929528.8850172</v>
      </c>
    </row>
    <row r="72" spans="1:28" s="75" customFormat="1">
      <c r="A72" s="79"/>
      <c r="B72" s="87" t="s">
        <v>92</v>
      </c>
      <c r="C72" s="87"/>
      <c r="D72" s="87"/>
      <c r="E72" s="87">
        <f t="shared" ref="E72:AB72" si="21">E67*E49</f>
        <v>42900000</v>
      </c>
      <c r="F72" s="87">
        <f t="shared" si="21"/>
        <v>38610000</v>
      </c>
      <c r="G72" s="87">
        <f t="shared" si="21"/>
        <v>103223999.99999999</v>
      </c>
      <c r="H72" s="87">
        <f>H67*H49</f>
        <v>106959600</v>
      </c>
      <c r="I72" s="87"/>
      <c r="J72" s="87">
        <f t="shared" si="21"/>
        <v>35653200</v>
      </c>
      <c r="K72" s="87">
        <f t="shared" si="21"/>
        <v>32087880</v>
      </c>
      <c r="L72" s="87">
        <f t="shared" si="21"/>
        <v>109772256</v>
      </c>
      <c r="M72" s="87">
        <f t="shared" si="21"/>
        <v>132295838.39999999</v>
      </c>
      <c r="N72" s="87"/>
      <c r="O72" s="87">
        <f t="shared" si="21"/>
        <v>44098612.800000004</v>
      </c>
      <c r="P72" s="87">
        <f t="shared" si="21"/>
        <v>39688751.520000011</v>
      </c>
      <c r="Q72" s="87">
        <f t="shared" si="21"/>
        <v>130247889.024</v>
      </c>
      <c r="R72" s="87">
        <f t="shared" si="21"/>
        <v>152593183.35359997</v>
      </c>
      <c r="S72" s="87"/>
      <c r="T72" s="87">
        <f t="shared" si="21"/>
        <v>50864394.451200001</v>
      </c>
      <c r="U72" s="87">
        <f t="shared" si="21"/>
        <v>45777955.006080002</v>
      </c>
      <c r="V72" s="87">
        <f>V67*V49</f>
        <v>141877151.55609602</v>
      </c>
      <c r="W72" s="87">
        <f t="shared" si="21"/>
        <v>186651172.73341441</v>
      </c>
      <c r="X72" s="87"/>
      <c r="Y72" s="87">
        <f t="shared" si="21"/>
        <v>62217057.577804804</v>
      </c>
      <c r="Z72" s="87">
        <f t="shared" si="21"/>
        <v>55995351.820024319</v>
      </c>
      <c r="AA72" s="87">
        <f t="shared" si="21"/>
        <v>155457364.60622439</v>
      </c>
      <c r="AB72" s="87">
        <f t="shared" si="21"/>
        <v>226466604.69093364</v>
      </c>
    </row>
    <row r="73" spans="1:28" s="75" customFormat="1">
      <c r="A73" s="79"/>
      <c r="B73" s="87" t="s">
        <v>526</v>
      </c>
      <c r="C73" s="87"/>
      <c r="D73" s="87"/>
      <c r="E73" s="87">
        <f t="shared" ref="E73:AB73" si="22">E68*E56</f>
        <v>0</v>
      </c>
      <c r="F73" s="87">
        <f t="shared" si="22"/>
        <v>0</v>
      </c>
      <c r="G73" s="87">
        <f t="shared" si="22"/>
        <v>0</v>
      </c>
      <c r="H73" s="87">
        <f t="shared" si="22"/>
        <v>0</v>
      </c>
      <c r="I73" s="87"/>
      <c r="J73" s="87">
        <f t="shared" si="22"/>
        <v>0</v>
      </c>
      <c r="K73" s="87">
        <f t="shared" si="22"/>
        <v>0</v>
      </c>
      <c r="L73" s="87">
        <f t="shared" si="22"/>
        <v>0</v>
      </c>
      <c r="M73" s="87">
        <f t="shared" si="22"/>
        <v>0</v>
      </c>
      <c r="N73" s="87"/>
      <c r="O73" s="87">
        <f t="shared" si="22"/>
        <v>0</v>
      </c>
      <c r="P73" s="87">
        <f t="shared" si="22"/>
        <v>0</v>
      </c>
      <c r="Q73" s="87">
        <f t="shared" si="22"/>
        <v>0</v>
      </c>
      <c r="R73" s="87">
        <f t="shared" si="22"/>
        <v>0</v>
      </c>
      <c r="S73" s="87"/>
      <c r="T73" s="87">
        <f t="shared" si="22"/>
        <v>0</v>
      </c>
      <c r="U73" s="87">
        <f t="shared" si="22"/>
        <v>0</v>
      </c>
      <c r="V73" s="87">
        <f t="shared" si="22"/>
        <v>0</v>
      </c>
      <c r="W73" s="87">
        <f t="shared" si="22"/>
        <v>0</v>
      </c>
      <c r="X73" s="87"/>
      <c r="Y73" s="87">
        <f t="shared" si="22"/>
        <v>0</v>
      </c>
      <c r="Z73" s="87">
        <f t="shared" si="22"/>
        <v>0</v>
      </c>
      <c r="AA73" s="87">
        <f t="shared" si="22"/>
        <v>0</v>
      </c>
      <c r="AB73" s="87">
        <f t="shared" si="22"/>
        <v>0</v>
      </c>
    </row>
    <row r="74" spans="1:28" s="75" customFormat="1">
      <c r="A74" s="79"/>
      <c r="B74" s="87" t="s">
        <v>282</v>
      </c>
      <c r="C74" s="87"/>
      <c r="D74" s="87"/>
      <c r="E74" s="87">
        <f t="shared" ref="E74:AB74" si="23">E69*E62</f>
        <v>0</v>
      </c>
      <c r="F74" s="87">
        <f t="shared" si="23"/>
        <v>0</v>
      </c>
      <c r="G74" s="87">
        <f t="shared" si="23"/>
        <v>9071999.9999999981</v>
      </c>
      <c r="H74" s="87">
        <f>H69*H62</f>
        <v>11088000</v>
      </c>
      <c r="I74" s="87"/>
      <c r="J74" s="87">
        <f t="shared" si="23"/>
        <v>0</v>
      </c>
      <c r="K74" s="87">
        <f t="shared" si="23"/>
        <v>0</v>
      </c>
      <c r="L74" s="87">
        <f t="shared" si="23"/>
        <v>9720000</v>
      </c>
      <c r="M74" s="87">
        <f t="shared" si="23"/>
        <v>14040000</v>
      </c>
      <c r="N74" s="87"/>
      <c r="O74" s="87">
        <f t="shared" si="23"/>
        <v>0</v>
      </c>
      <c r="P74" s="87">
        <f t="shared" si="23"/>
        <v>0</v>
      </c>
      <c r="Q74" s="87">
        <f t="shared" si="23"/>
        <v>11520000</v>
      </c>
      <c r="R74" s="87">
        <f t="shared" si="23"/>
        <v>16128000</v>
      </c>
      <c r="S74" s="87"/>
      <c r="T74" s="87">
        <f t="shared" si="23"/>
        <v>0</v>
      </c>
      <c r="U74" s="87">
        <f t="shared" si="23"/>
        <v>0</v>
      </c>
      <c r="V74" s="87">
        <f t="shared" si="23"/>
        <v>12528000</v>
      </c>
      <c r="W74" s="87">
        <f t="shared" si="23"/>
        <v>20044800</v>
      </c>
      <c r="X74" s="87"/>
      <c r="Y74" s="87">
        <f t="shared" si="23"/>
        <v>0</v>
      </c>
      <c r="Z74" s="87">
        <f t="shared" si="23"/>
        <v>0</v>
      </c>
      <c r="AA74" s="87">
        <f t="shared" si="23"/>
        <v>13680000</v>
      </c>
      <c r="AB74" s="87">
        <f t="shared" si="23"/>
        <v>24624000</v>
      </c>
    </row>
    <row r="76" spans="1:28">
      <c r="B76" s="79" t="s">
        <v>470</v>
      </c>
      <c r="G76" s="79">
        <v>3300</v>
      </c>
      <c r="H76" s="79">
        <v>3900</v>
      </c>
      <c r="L76" s="79">
        <v>3300</v>
      </c>
      <c r="M76" s="79">
        <v>3900</v>
      </c>
      <c r="Q76" s="79">
        <v>3300</v>
      </c>
      <c r="R76" s="79">
        <v>3900</v>
      </c>
      <c r="V76" s="79">
        <v>3300</v>
      </c>
      <c r="W76" s="79">
        <v>3900</v>
      </c>
      <c r="AA76" s="79">
        <v>3300</v>
      </c>
      <c r="AB76" s="79">
        <v>3900</v>
      </c>
    </row>
    <row r="77" spans="1:28" s="75" customFormat="1" ht="13.2">
      <c r="A77" s="77" t="s">
        <v>367</v>
      </c>
      <c r="B77" s="76" t="s">
        <v>283</v>
      </c>
    </row>
    <row r="78" spans="1:28" s="75" customFormat="1" ht="13.2">
      <c r="B78" s="116" t="s">
        <v>256</v>
      </c>
      <c r="C78" s="116"/>
      <c r="D78" s="116" t="s">
        <v>38</v>
      </c>
      <c r="E78" s="116">
        <f>$C78*Sugar!E$34</f>
        <v>0</v>
      </c>
      <c r="F78" s="116">
        <f>$C78*Sugar!F$34</f>
        <v>0</v>
      </c>
      <c r="G78" s="116">
        <f>G76*Sugar!G$34</f>
        <v>831599999.99999988</v>
      </c>
      <c r="H78" s="116">
        <f>H76*Sugar!H$34</f>
        <v>1201200000</v>
      </c>
      <c r="I78" s="116"/>
      <c r="J78" s="116">
        <f>$C78*Sugar!J$34</f>
        <v>0</v>
      </c>
      <c r="K78" s="116">
        <f>$C78*Sugar!K$34</f>
        <v>0</v>
      </c>
      <c r="L78" s="116">
        <f>L76*Sugar!L$34</f>
        <v>2178000000</v>
      </c>
      <c r="M78" s="116">
        <f>M76*Sugar!M$34</f>
        <v>0</v>
      </c>
      <c r="N78" s="116"/>
      <c r="O78" s="116">
        <f>$C78*Sugar!O$34</f>
        <v>0</v>
      </c>
      <c r="P78" s="116">
        <f>$C78*Sugar!P$34</f>
        <v>0</v>
      </c>
      <c r="Q78" s="116">
        <f>Q76*Sugar!Q$34</f>
        <v>2534400000</v>
      </c>
      <c r="R78" s="116">
        <f>R76*Sugar!R$34</f>
        <v>0</v>
      </c>
      <c r="S78" s="116"/>
      <c r="T78" s="116">
        <f>$C78*Sugar!T$34</f>
        <v>0</v>
      </c>
      <c r="U78" s="116">
        <f>$C78*Sugar!U$34</f>
        <v>0</v>
      </c>
      <c r="V78" s="116">
        <f>V76*Sugar!V$34</f>
        <v>2985840000</v>
      </c>
      <c r="W78" s="116">
        <f>W76*Sugar!W$34</f>
        <v>0</v>
      </c>
      <c r="X78" s="116"/>
      <c r="Y78" s="116">
        <f>$C78*Sugar!Y$34</f>
        <v>0</v>
      </c>
      <c r="Z78" s="116">
        <f>$C78*Sugar!Z$34</f>
        <v>0</v>
      </c>
      <c r="AA78" s="116">
        <f>AA76*Sugar!AA$34</f>
        <v>3511200000</v>
      </c>
      <c r="AB78" s="116">
        <f>AB76*Sugar!AB$34</f>
        <v>0</v>
      </c>
    </row>
    <row r="79" spans="1:28" s="75" customFormat="1" ht="13.2">
      <c r="B79" s="116" t="s">
        <v>285</v>
      </c>
      <c r="C79" s="116">
        <v>20</v>
      </c>
      <c r="D79" s="116" t="s">
        <v>38</v>
      </c>
      <c r="E79" s="116">
        <f>$C79*Sugar!E$23</f>
        <v>0</v>
      </c>
      <c r="F79" s="116">
        <f>$C79*Sugar!F$23</f>
        <v>0</v>
      </c>
      <c r="G79" s="116">
        <f>$C79*Sugar!G$23</f>
        <v>5039999.9999999991</v>
      </c>
      <c r="H79" s="116">
        <f>$C79*Sugar!H$23</f>
        <v>6160000</v>
      </c>
      <c r="I79" s="116"/>
      <c r="J79" s="116">
        <f>$C79*Sugar!J$23</f>
        <v>0</v>
      </c>
      <c r="K79" s="116">
        <f>$C79*Sugar!K$23</f>
        <v>0</v>
      </c>
      <c r="L79" s="116">
        <f>$C79*Sugar!L$23</f>
        <v>5400000</v>
      </c>
      <c r="M79" s="116">
        <f>$C79*Sugar!M$23</f>
        <v>7800000</v>
      </c>
      <c r="N79" s="116"/>
      <c r="O79" s="116">
        <f>$C79*Sugar!O$23</f>
        <v>0</v>
      </c>
      <c r="P79" s="116">
        <f>$C79*Sugar!P$23</f>
        <v>0</v>
      </c>
      <c r="Q79" s="116">
        <f>$C79*Sugar!Q$23</f>
        <v>6400000</v>
      </c>
      <c r="R79" s="116">
        <f>$C79*Sugar!R$23</f>
        <v>8960000</v>
      </c>
      <c r="S79" s="116"/>
      <c r="T79" s="116">
        <f>$C79*Sugar!T$23</f>
        <v>0</v>
      </c>
      <c r="U79" s="116">
        <f>$C79*Sugar!U$23</f>
        <v>0</v>
      </c>
      <c r="V79" s="116">
        <f>$C79*Sugar!V$23</f>
        <v>6960000</v>
      </c>
      <c r="W79" s="116">
        <f>$C79*Sugar!W$23</f>
        <v>11136000</v>
      </c>
      <c r="X79" s="116"/>
      <c r="Y79" s="116">
        <f>$C79*Sugar!Y$23</f>
        <v>0</v>
      </c>
      <c r="Z79" s="116">
        <f>$C79*Sugar!Z$23</f>
        <v>0</v>
      </c>
      <c r="AA79" s="116">
        <f>$C79*Sugar!AA$23</f>
        <v>7600000</v>
      </c>
      <c r="AB79" s="116">
        <f>$C79*Sugar!AB$23</f>
        <v>13680000</v>
      </c>
    </row>
    <row r="80" spans="1:28" s="75" customFormat="1" ht="13.2">
      <c r="B80" s="116" t="s">
        <v>264</v>
      </c>
      <c r="C80" s="116">
        <v>0</v>
      </c>
      <c r="D80" s="116" t="s">
        <v>38</v>
      </c>
      <c r="E80" s="116">
        <f>Power!E35</f>
        <v>0</v>
      </c>
      <c r="F80" s="116">
        <f>Power!F35</f>
        <v>0</v>
      </c>
      <c r="G80" s="116">
        <f>Power!G35</f>
        <v>-51480000</v>
      </c>
      <c r="H80" s="116">
        <f>Power!H35</f>
        <v>-62920000</v>
      </c>
      <c r="I80" s="116"/>
      <c r="J80" s="116">
        <f>Power!J35</f>
        <v>0</v>
      </c>
      <c r="K80" s="116">
        <f>Power!K35</f>
        <v>0</v>
      </c>
      <c r="L80" s="116">
        <f>Power!L35</f>
        <v>-51480000</v>
      </c>
      <c r="M80" s="116">
        <f>Power!M35</f>
        <v>-74360000</v>
      </c>
      <c r="N80" s="116"/>
      <c r="O80" s="116">
        <f>Power!O35</f>
        <v>0</v>
      </c>
      <c r="P80" s="116">
        <f>Power!P35</f>
        <v>0</v>
      </c>
      <c r="Q80" s="116">
        <f>Power!Q35</f>
        <v>-57200000</v>
      </c>
      <c r="R80" s="116">
        <f>Power!R35</f>
        <v>-80080000</v>
      </c>
      <c r="S80" s="116"/>
      <c r="T80" s="116">
        <f>Power!T35</f>
        <v>0</v>
      </c>
      <c r="U80" s="116">
        <f>Power!U35</f>
        <v>0</v>
      </c>
      <c r="V80" s="116">
        <f>Power!V35</f>
        <v>-57200000</v>
      </c>
      <c r="W80" s="116">
        <f>Power!W35</f>
        <v>-91520000</v>
      </c>
      <c r="X80" s="116"/>
      <c r="Y80" s="116">
        <f>Power!Y35</f>
        <v>0</v>
      </c>
      <c r="Z80" s="116">
        <f>Power!Z35</f>
        <v>0</v>
      </c>
      <c r="AA80" s="116">
        <f>Power!AA35</f>
        <v>-57200000</v>
      </c>
      <c r="AB80" s="116">
        <f>Power!AB35</f>
        <v>-102960000</v>
      </c>
    </row>
    <row r="81" spans="2:28" s="75" customFormat="1" ht="13.2">
      <c r="B81" s="116" t="s">
        <v>286</v>
      </c>
      <c r="C81" s="116"/>
      <c r="D81" s="116"/>
      <c r="E81" s="116">
        <f>Employee!E29</f>
        <v>4439070</v>
      </c>
      <c r="F81" s="116">
        <f>Employee!F29</f>
        <v>4550046.75</v>
      </c>
      <c r="G81" s="116">
        <f>Employee!G29</f>
        <v>4663797.9187499993</v>
      </c>
      <c r="H81" s="116">
        <f>Employee!H29</f>
        <v>4780392.8667187486</v>
      </c>
      <c r="I81" s="116">
        <f>Employee!I29</f>
        <v>18433307.53546875</v>
      </c>
      <c r="J81" s="116">
        <f>Employee!J29</f>
        <v>4899902.6883867169</v>
      </c>
      <c r="K81" s="116">
        <f>Employee!K29</f>
        <v>5022400.2555963844</v>
      </c>
      <c r="L81" s="116">
        <f>Employee!L29</f>
        <v>5147960.2619862938</v>
      </c>
      <c r="M81" s="116">
        <f>Employee!M29</f>
        <v>5276659.2685359502</v>
      </c>
      <c r="N81" s="116">
        <f>Employee!N29</f>
        <v>20346922.474505343</v>
      </c>
      <c r="O81" s="116">
        <f>Employee!O29</f>
        <v>5408575.7502493486</v>
      </c>
      <c r="P81" s="116">
        <f>Employee!P29</f>
        <v>5543790.1440055817</v>
      </c>
      <c r="Q81" s="116">
        <f>Employee!Q29</f>
        <v>5682384.8976057209</v>
      </c>
      <c r="R81" s="116">
        <f>Employee!R29</f>
        <v>5824444.5200458635</v>
      </c>
      <c r="S81" s="116">
        <f>Employee!S29</f>
        <v>22459195.311906517</v>
      </c>
      <c r="T81" s="116">
        <f>Employee!T29</f>
        <v>5970055.6330470098</v>
      </c>
      <c r="U81" s="116">
        <f>Employee!U29</f>
        <v>6119307.0238731848</v>
      </c>
      <c r="V81" s="116">
        <f>Employee!V29</f>
        <v>6272289.6994700134</v>
      </c>
      <c r="W81" s="116">
        <f>Employee!W29</f>
        <v>6429096.9419567632</v>
      </c>
      <c r="X81" s="116">
        <f>Employee!X29</f>
        <v>24790749.29834697</v>
      </c>
      <c r="Y81" s="116">
        <f>Employee!Y29</f>
        <v>6589824.3655056814</v>
      </c>
      <c r="Z81" s="116">
        <f>Employee!Z29</f>
        <v>6754569.9746433226</v>
      </c>
      <c r="AA81" s="116">
        <f>Employee!AA29</f>
        <v>6923434.2240094049</v>
      </c>
      <c r="AB81" s="116">
        <f>Employee!AB29</f>
        <v>7096520.079609639</v>
      </c>
    </row>
    <row r="82" spans="2:28" s="75" customFormat="1" ht="13.2">
      <c r="B82" s="116" t="s">
        <v>380</v>
      </c>
      <c r="C82" s="116">
        <v>35</v>
      </c>
      <c r="D82" s="116"/>
      <c r="E82" s="116">
        <f>$C82*Sugar!E$23</f>
        <v>0</v>
      </c>
      <c r="F82" s="116">
        <f>$C82*Sugar!F$23</f>
        <v>0</v>
      </c>
      <c r="G82" s="116">
        <f>$C82*Sugar!G$23</f>
        <v>8819999.9999999981</v>
      </c>
      <c r="H82" s="116">
        <f>$C82*Sugar!H$23</f>
        <v>10780000</v>
      </c>
      <c r="I82" s="116"/>
      <c r="J82" s="116">
        <f>$C82*Sugar!J$23</f>
        <v>0</v>
      </c>
      <c r="K82" s="116">
        <f>$C82*Sugar!K$23</f>
        <v>0</v>
      </c>
      <c r="L82" s="116">
        <f>$C82*Sugar!L$23</f>
        <v>9450000</v>
      </c>
      <c r="M82" s="116">
        <f>$C82*Sugar!M$23</f>
        <v>13650000</v>
      </c>
      <c r="N82" s="116"/>
      <c r="O82" s="116">
        <f>$C82*Sugar!O$23</f>
        <v>0</v>
      </c>
      <c r="P82" s="116">
        <f>$C82*Sugar!P$23</f>
        <v>0</v>
      </c>
      <c r="Q82" s="116">
        <f>$C82*Sugar!Q$23</f>
        <v>11200000</v>
      </c>
      <c r="R82" s="116">
        <f>$C82*Sugar!R$23</f>
        <v>15680000</v>
      </c>
      <c r="S82" s="116"/>
      <c r="T82" s="116">
        <f>$C82*Sugar!T$23</f>
        <v>0</v>
      </c>
      <c r="U82" s="116">
        <f>$C82*Sugar!U$23</f>
        <v>0</v>
      </c>
      <c r="V82" s="116">
        <f>$C82*Sugar!V$23</f>
        <v>12180000</v>
      </c>
      <c r="W82" s="116">
        <f>$C82*Sugar!W$23</f>
        <v>19488000</v>
      </c>
      <c r="X82" s="116"/>
      <c r="Y82" s="116">
        <f>$C82*Sugar!Y$23</f>
        <v>0</v>
      </c>
      <c r="Z82" s="116">
        <f>$C82*Sugar!Z$23</f>
        <v>0</v>
      </c>
      <c r="AA82" s="116">
        <f>$C82*Sugar!AA$23</f>
        <v>13300000</v>
      </c>
      <c r="AB82" s="116">
        <f>$C82*Sugar!AB$23</f>
        <v>23940000</v>
      </c>
    </row>
    <row r="84" spans="2:28">
      <c r="B84" s="79" t="s">
        <v>488</v>
      </c>
      <c r="G84" s="150">
        <f>SUM(E78:H82)/SUM(E42:H42)/1000</f>
        <v>32.051365165914135</v>
      </c>
      <c r="L84" s="150">
        <f>SUM(J78:M82)/SUM(J42:M42)/1000</f>
        <v>28.957183968067355</v>
      </c>
      <c r="Q84" s="150">
        <f>SUM(O78:R82)/SUM(O42:R42)/1000</f>
        <v>29.085765540074512</v>
      </c>
      <c r="V84" s="150">
        <f>SUM(U78:X82)/SUM(U42:X42)/1000</f>
        <v>29.239458043618768</v>
      </c>
      <c r="AA84" s="150">
        <f>SUM(Y78:AB82)/SUM(Y42:AB42)/1000</f>
        <v>29.035434220188971</v>
      </c>
    </row>
    <row r="87" spans="2:28">
      <c r="B87" s="79" t="s">
        <v>511</v>
      </c>
      <c r="C87" s="79">
        <v>1410000000</v>
      </c>
    </row>
    <row r="88" spans="2:28">
      <c r="B88" s="79" t="s">
        <v>512</v>
      </c>
      <c r="C88" s="79">
        <v>28</v>
      </c>
    </row>
    <row r="89" spans="2:28">
      <c r="B89" s="170" t="s">
        <v>513</v>
      </c>
      <c r="C89" s="170">
        <f>C87/C88/1000</f>
        <v>50357.142857142855</v>
      </c>
    </row>
    <row r="91" spans="2:28">
      <c r="B91" s="79" t="s">
        <v>514</v>
      </c>
      <c r="C91" s="79">
        <v>93600000</v>
      </c>
    </row>
    <row r="92" spans="2:28">
      <c r="B92" s="79" t="s">
        <v>512</v>
      </c>
      <c r="C92" s="79">
        <v>12</v>
      </c>
    </row>
    <row r="93" spans="2:28">
      <c r="C93" s="170">
        <f>C91/C92/1000</f>
        <v>7800</v>
      </c>
    </row>
    <row r="95" spans="2:28">
      <c r="B95" s="79" t="s">
        <v>277</v>
      </c>
    </row>
    <row r="100" spans="2:3">
      <c r="B100" s="79" t="s">
        <v>276</v>
      </c>
      <c r="C100" s="79">
        <f>100000000+1831753</f>
        <v>101831753</v>
      </c>
    </row>
    <row r="101" spans="2:3">
      <c r="C101" s="171">
        <v>1.2</v>
      </c>
    </row>
    <row r="102" spans="2:3">
      <c r="C102" s="170">
        <f>C100/C101/1000</f>
        <v>84859.794166666674</v>
      </c>
    </row>
    <row r="103" spans="2:3" s="170" customFormat="1">
      <c r="C103" s="170">
        <f>C100+C91+C87</f>
        <v>1605431753</v>
      </c>
    </row>
    <row r="104" spans="2:3">
      <c r="C104" s="79">
        <f>C103-BS!C11</f>
        <v>0.40000009536743164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C171-54B6-47B2-AEE2-37AD1293425E}">
  <sheetPr>
    <tabColor theme="4" tint="0.79998168889431442"/>
  </sheetPr>
  <dimension ref="A1:AG77"/>
  <sheetViews>
    <sheetView showGridLines="0" zoomScaleNormal="100" workbookViewId="0">
      <pane xSplit="4" ySplit="3" topLeftCell="H5" activePane="bottomRight" state="frozen"/>
      <selection activeCell="H41" sqref="H41"/>
      <selection pane="topRight" activeCell="H41" sqref="H41"/>
      <selection pane="bottomLeft" activeCell="H41" sqref="H41"/>
      <selection pane="bottomRight" activeCell="P77" sqref="P77"/>
    </sheetView>
  </sheetViews>
  <sheetFormatPr defaultColWidth="0" defaultRowHeight="14.4"/>
  <cols>
    <col min="1" max="1" width="1.6640625" customWidth="1"/>
    <col min="2" max="2" width="27.33203125" bestFit="1" customWidth="1"/>
    <col min="3" max="3" width="12.77734375" bestFit="1" customWidth="1"/>
    <col min="4" max="4" width="12.33203125" bestFit="1" customWidth="1"/>
    <col min="5" max="6" width="14.6640625" bestFit="1" customWidth="1"/>
    <col min="7" max="7" width="15.109375" bestFit="1" customWidth="1"/>
    <col min="8" max="8" width="14.33203125" bestFit="1" customWidth="1"/>
    <col min="9" max="9" width="14" customWidth="1"/>
    <col min="10" max="11" width="14.6640625" bestFit="1" customWidth="1"/>
    <col min="12" max="13" width="14.33203125" bestFit="1" customWidth="1"/>
    <col min="14" max="14" width="14" customWidth="1"/>
    <col min="15" max="16" width="14.6640625" bestFit="1" customWidth="1"/>
    <col min="17" max="18" width="14.33203125" bestFit="1" customWidth="1"/>
    <col min="19" max="19" width="14" customWidth="1"/>
    <col min="20" max="21" width="14.6640625" bestFit="1" customWidth="1"/>
    <col min="22" max="23" width="14.33203125" bestFit="1" customWidth="1"/>
    <col min="24" max="24" width="14" customWidth="1"/>
    <col min="25" max="26" width="14.6640625" bestFit="1" customWidth="1"/>
    <col min="27" max="27" width="14.33203125" bestFit="1" customWidth="1"/>
    <col min="28" max="28" width="15.33203125" bestFit="1" customWidth="1"/>
    <col min="29" max="29" width="8.6640625" customWidth="1"/>
    <col min="30" max="33" width="0" hidden="1" customWidth="1"/>
    <col min="34" max="16384" width="8.6640625" hidden="1"/>
  </cols>
  <sheetData>
    <row r="1" spans="2:28">
      <c r="B1" s="80" t="s">
        <v>60</v>
      </c>
      <c r="C1" s="80"/>
      <c r="D1" s="80"/>
      <c r="E1" s="81">
        <v>0</v>
      </c>
      <c r="F1" s="81">
        <v>0</v>
      </c>
      <c r="G1" s="81">
        <f t="shared" ref="G1:AB1" si="0">330/4</f>
        <v>82.5</v>
      </c>
      <c r="H1" s="81">
        <f t="shared" si="0"/>
        <v>82.5</v>
      </c>
      <c r="I1" s="81"/>
      <c r="J1" s="81">
        <f t="shared" si="0"/>
        <v>82.5</v>
      </c>
      <c r="K1" s="81">
        <f t="shared" si="0"/>
        <v>82.5</v>
      </c>
      <c r="L1" s="81">
        <f t="shared" si="0"/>
        <v>82.5</v>
      </c>
      <c r="M1" s="81">
        <f t="shared" si="0"/>
        <v>82.5</v>
      </c>
      <c r="N1" s="81"/>
      <c r="O1" s="81">
        <f t="shared" si="0"/>
        <v>82.5</v>
      </c>
      <c r="P1" s="81">
        <f t="shared" si="0"/>
        <v>82.5</v>
      </c>
      <c r="Q1" s="81">
        <f t="shared" si="0"/>
        <v>82.5</v>
      </c>
      <c r="R1" s="81">
        <f t="shared" si="0"/>
        <v>82.5</v>
      </c>
      <c r="S1" s="81"/>
      <c r="T1" s="81">
        <f t="shared" si="0"/>
        <v>82.5</v>
      </c>
      <c r="U1" s="81">
        <f t="shared" si="0"/>
        <v>82.5</v>
      </c>
      <c r="V1" s="81">
        <f t="shared" si="0"/>
        <v>82.5</v>
      </c>
      <c r="W1" s="81">
        <f t="shared" si="0"/>
        <v>82.5</v>
      </c>
      <c r="X1" s="81"/>
      <c r="Y1" s="81">
        <f t="shared" si="0"/>
        <v>82.5</v>
      </c>
      <c r="Z1" s="81">
        <f t="shared" si="0"/>
        <v>82.5</v>
      </c>
      <c r="AA1" s="81">
        <f t="shared" si="0"/>
        <v>82.5</v>
      </c>
      <c r="AB1" s="81">
        <f t="shared" si="0"/>
        <v>82.5</v>
      </c>
    </row>
    <row r="2" spans="2:28">
      <c r="B2" s="81" t="s">
        <v>479</v>
      </c>
      <c r="C2" s="81"/>
      <c r="D2" s="81"/>
      <c r="E2" s="81">
        <f>Sugar!E6</f>
        <v>0</v>
      </c>
      <c r="F2" s="81">
        <f>Sugar!F6</f>
        <v>0</v>
      </c>
      <c r="G2" s="81">
        <f>Sugar!G6</f>
        <v>45</v>
      </c>
      <c r="H2" s="81">
        <f>Sugar!H6</f>
        <v>55</v>
      </c>
      <c r="I2" s="81"/>
      <c r="J2" s="81">
        <f>Sugar!J6</f>
        <v>0</v>
      </c>
      <c r="K2" s="81">
        <f>Sugar!K6</f>
        <v>0</v>
      </c>
      <c r="L2" s="81">
        <f>Sugar!L6</f>
        <v>45</v>
      </c>
      <c r="M2" s="81">
        <f>Sugar!M6</f>
        <v>65</v>
      </c>
      <c r="N2" s="81"/>
      <c r="O2" s="81">
        <f>Sugar!O6</f>
        <v>0</v>
      </c>
      <c r="P2" s="81">
        <f>Sugar!P6</f>
        <v>0</v>
      </c>
      <c r="Q2" s="81">
        <f>Sugar!Q6</f>
        <v>50</v>
      </c>
      <c r="R2" s="81">
        <f>Sugar!R6</f>
        <v>70</v>
      </c>
      <c r="S2" s="81"/>
      <c r="T2" s="81">
        <f>Sugar!T6</f>
        <v>0</v>
      </c>
      <c r="U2" s="81">
        <f>Sugar!U6</f>
        <v>0</v>
      </c>
      <c r="V2" s="81">
        <f>Sugar!V6</f>
        <v>50</v>
      </c>
      <c r="W2" s="81">
        <f>Sugar!W6</f>
        <v>80</v>
      </c>
      <c r="X2" s="81"/>
      <c r="Y2" s="81">
        <f>Sugar!Y6</f>
        <v>0</v>
      </c>
      <c r="Z2" s="81">
        <f>Sugar!Z6</f>
        <v>0</v>
      </c>
      <c r="AA2" s="81">
        <f>Sugar!AA6</f>
        <v>50</v>
      </c>
      <c r="AB2" s="81">
        <f>Sugar!AB6</f>
        <v>90</v>
      </c>
    </row>
    <row r="3" spans="2:28">
      <c r="B3" s="81" t="s">
        <v>59</v>
      </c>
      <c r="C3" s="80"/>
      <c r="D3" s="80"/>
      <c r="E3" s="82">
        <v>45838</v>
      </c>
      <c r="F3" s="83">
        <f>EOMONTH(E3,3)</f>
        <v>45930</v>
      </c>
      <c r="G3" s="83">
        <f>EOMONTH(F3,3)</f>
        <v>46022</v>
      </c>
      <c r="H3" s="83">
        <f>EOMONTH(G3,3)</f>
        <v>46112</v>
      </c>
      <c r="I3" s="83"/>
      <c r="J3" s="83">
        <f>EOMONTH(H3,3)</f>
        <v>46203</v>
      </c>
      <c r="K3" s="83">
        <f t="shared" ref="K3:AB3" si="1">EOMONTH(J3,3)</f>
        <v>46295</v>
      </c>
      <c r="L3" s="83">
        <f t="shared" si="1"/>
        <v>46387</v>
      </c>
      <c r="M3" s="83">
        <f t="shared" si="1"/>
        <v>46477</v>
      </c>
      <c r="N3" s="83"/>
      <c r="O3" s="83">
        <f>EOMONTH(M3,3)</f>
        <v>46568</v>
      </c>
      <c r="P3" s="83">
        <f t="shared" si="1"/>
        <v>46660</v>
      </c>
      <c r="Q3" s="83">
        <f t="shared" si="1"/>
        <v>46752</v>
      </c>
      <c r="R3" s="83">
        <f t="shared" si="1"/>
        <v>46843</v>
      </c>
      <c r="S3" s="83"/>
      <c r="T3" s="83">
        <f>EOMONTH(R3,3)</f>
        <v>46934</v>
      </c>
      <c r="U3" s="83">
        <f t="shared" si="1"/>
        <v>47026</v>
      </c>
      <c r="V3" s="83">
        <f t="shared" si="1"/>
        <v>47118</v>
      </c>
      <c r="W3" s="83">
        <f t="shared" si="1"/>
        <v>47208</v>
      </c>
      <c r="X3" s="83"/>
      <c r="Y3" s="83">
        <f>EOMONTH(W3,3)</f>
        <v>47299</v>
      </c>
      <c r="Z3" s="83">
        <f t="shared" si="1"/>
        <v>47391</v>
      </c>
      <c r="AA3" s="83">
        <f t="shared" si="1"/>
        <v>47483</v>
      </c>
      <c r="AB3" s="83">
        <f t="shared" si="1"/>
        <v>47573</v>
      </c>
    </row>
    <row r="5" spans="2:28">
      <c r="B5" t="s">
        <v>276</v>
      </c>
      <c r="C5" t="s">
        <v>309</v>
      </c>
      <c r="D5">
        <v>1500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28">
      <c r="B6" t="s">
        <v>349</v>
      </c>
      <c r="C6" t="s">
        <v>309</v>
      </c>
      <c r="D6">
        <v>5000</v>
      </c>
    </row>
    <row r="7" spans="2:28">
      <c r="B7" t="s">
        <v>429</v>
      </c>
      <c r="C7" t="s">
        <v>428</v>
      </c>
      <c r="D7">
        <v>1433</v>
      </c>
    </row>
    <row r="8" spans="2:28">
      <c r="B8" t="s">
        <v>430</v>
      </c>
      <c r="C8" t="s">
        <v>428</v>
      </c>
      <c r="D8">
        <v>430</v>
      </c>
    </row>
    <row r="10" spans="2:28">
      <c r="B10" t="s">
        <v>455</v>
      </c>
      <c r="D10">
        <v>7.2</v>
      </c>
      <c r="E10" t="s">
        <v>309</v>
      </c>
    </row>
    <row r="11" spans="2:28">
      <c r="B11" t="s">
        <v>276</v>
      </c>
      <c r="D11" s="172">
        <f>D10/2</f>
        <v>3.6</v>
      </c>
      <c r="E11" t="s">
        <v>309</v>
      </c>
    </row>
    <row r="12" spans="2:28">
      <c r="B12" t="s">
        <v>456</v>
      </c>
      <c r="D12" s="174">
        <f>D10/3.5</f>
        <v>2.0571428571428574</v>
      </c>
      <c r="E12" t="s">
        <v>309</v>
      </c>
    </row>
    <row r="13" spans="2:28">
      <c r="B13" t="s">
        <v>349</v>
      </c>
      <c r="D13" s="8">
        <f>D10/5</f>
        <v>1.44</v>
      </c>
      <c r="E13" t="s">
        <v>309</v>
      </c>
    </row>
    <row r="14" spans="2:28">
      <c r="D14" s="8"/>
    </row>
    <row r="15" spans="2:28">
      <c r="B15" t="s">
        <v>473</v>
      </c>
      <c r="D15" t="s">
        <v>496</v>
      </c>
    </row>
    <row r="16" spans="2:28">
      <c r="B16" t="s">
        <v>275</v>
      </c>
      <c r="D16">
        <v>120</v>
      </c>
    </row>
    <row r="17" spans="2:28">
      <c r="B17" t="s">
        <v>0</v>
      </c>
      <c r="D17">
        <v>55</v>
      </c>
    </row>
    <row r="19" spans="2:28">
      <c r="B19" t="s">
        <v>498</v>
      </c>
      <c r="C19" s="8">
        <f>D16/D10</f>
        <v>16.666666666666668</v>
      </c>
      <c r="D19" t="s">
        <v>26</v>
      </c>
      <c r="E19" s="8"/>
    </row>
    <row r="20" spans="2:28">
      <c r="B20" t="s">
        <v>497</v>
      </c>
      <c r="C20" s="8">
        <f>D17/D10</f>
        <v>7.6388888888888884</v>
      </c>
      <c r="D20" t="s">
        <v>26</v>
      </c>
      <c r="E20" s="8"/>
    </row>
    <row r="21" spans="2:28">
      <c r="E21" s="8"/>
    </row>
    <row r="22" spans="2:28">
      <c r="B22" s="1" t="s">
        <v>472</v>
      </c>
      <c r="E22" s="8"/>
    </row>
    <row r="23" spans="2:28">
      <c r="B23" t="s">
        <v>473</v>
      </c>
      <c r="C23">
        <f>D16</f>
        <v>120</v>
      </c>
      <c r="D23" t="s">
        <v>499</v>
      </c>
      <c r="E23" s="8"/>
    </row>
    <row r="24" spans="2:28">
      <c r="B24" t="s">
        <v>501</v>
      </c>
      <c r="C24">
        <f>C23*24</f>
        <v>2880</v>
      </c>
      <c r="D24" t="s">
        <v>500</v>
      </c>
      <c r="E24" s="8"/>
    </row>
    <row r="25" spans="2:28">
      <c r="B25" t="s">
        <v>474</v>
      </c>
      <c r="C25">
        <f>C24/2</f>
        <v>1440</v>
      </c>
      <c r="D25" t="s">
        <v>500</v>
      </c>
      <c r="E25" s="8"/>
    </row>
    <row r="26" spans="2:28">
      <c r="C26" s="9"/>
      <c r="E26" s="8"/>
    </row>
    <row r="27" spans="2:28">
      <c r="B27" t="s">
        <v>350</v>
      </c>
      <c r="C27" s="9">
        <f>C24/D10*1000</f>
        <v>400000</v>
      </c>
      <c r="D27" t="s">
        <v>475</v>
      </c>
      <c r="E27" s="8"/>
    </row>
    <row r="28" spans="2:28">
      <c r="C28" s="9"/>
      <c r="E28" s="8"/>
    </row>
    <row r="29" spans="2:28" s="9" customFormat="1">
      <c r="B29" s="9" t="s">
        <v>476</v>
      </c>
      <c r="E29" s="9">
        <f>$C27*E2</f>
        <v>0</v>
      </c>
      <c r="F29" s="9">
        <f>$C27*F2</f>
        <v>0</v>
      </c>
      <c r="G29" s="9">
        <f>$C27*G2</f>
        <v>18000000</v>
      </c>
      <c r="H29" s="9">
        <f>$C27*H2</f>
        <v>22000000</v>
      </c>
      <c r="J29" s="9">
        <f>$C27*J2</f>
        <v>0</v>
      </c>
      <c r="K29" s="9">
        <f>$C27*K2</f>
        <v>0</v>
      </c>
      <c r="L29" s="9">
        <f>$C27*L2</f>
        <v>18000000</v>
      </c>
      <c r="M29" s="9">
        <f>$C27*M2</f>
        <v>26000000</v>
      </c>
      <c r="O29" s="9">
        <f>$C27*O2</f>
        <v>0</v>
      </c>
      <c r="P29" s="9">
        <f>$C27*P2</f>
        <v>0</v>
      </c>
      <c r="Q29" s="9">
        <f>$C27*Q2</f>
        <v>20000000</v>
      </c>
      <c r="R29" s="9">
        <f>$C27*R2</f>
        <v>28000000</v>
      </c>
      <c r="T29" s="9">
        <f>$C27*T2</f>
        <v>0</v>
      </c>
      <c r="U29" s="9">
        <f>$C27*U2</f>
        <v>0</v>
      </c>
      <c r="V29" s="9">
        <f>$C27*V2</f>
        <v>20000000</v>
      </c>
      <c r="W29" s="9">
        <f>$C27*W2</f>
        <v>32000000</v>
      </c>
      <c r="Y29" s="9">
        <f>$C27*Y2</f>
        <v>0</v>
      </c>
      <c r="Z29" s="9">
        <f>$C27*Z2</f>
        <v>0</v>
      </c>
      <c r="AA29" s="9">
        <f>$C27*AA2</f>
        <v>20000000</v>
      </c>
      <c r="AB29" s="9">
        <f>$C27*AB2</f>
        <v>36000000</v>
      </c>
    </row>
    <row r="30" spans="2:28" s="9" customFormat="1">
      <c r="B30" s="9" t="s">
        <v>477</v>
      </c>
      <c r="C30" s="9">
        <f>8*24*1000</f>
        <v>192000</v>
      </c>
      <c r="D30" s="9" t="s">
        <v>502</v>
      </c>
      <c r="E30" s="9">
        <f>E2*$C30</f>
        <v>0</v>
      </c>
      <c r="F30" s="9">
        <f>F2*$C30</f>
        <v>0</v>
      </c>
      <c r="G30" s="9">
        <f>G2*$C30</f>
        <v>8640000</v>
      </c>
      <c r="H30" s="9">
        <f>H2*$C30</f>
        <v>10560000</v>
      </c>
      <c r="J30" s="9">
        <f>J2*$C30</f>
        <v>0</v>
      </c>
      <c r="K30" s="9">
        <f>K2*$C30</f>
        <v>0</v>
      </c>
      <c r="L30" s="9">
        <f>L2*$C30</f>
        <v>8640000</v>
      </c>
      <c r="M30" s="9">
        <f>M2*$C30</f>
        <v>12480000</v>
      </c>
      <c r="O30" s="9">
        <f>O2*$C30</f>
        <v>0</v>
      </c>
      <c r="P30" s="9">
        <f>P2*$C30</f>
        <v>0</v>
      </c>
      <c r="Q30" s="9">
        <f>Q2*$C30</f>
        <v>9600000</v>
      </c>
      <c r="R30" s="9">
        <f>R2*$C30</f>
        <v>13440000</v>
      </c>
      <c r="T30" s="9">
        <f>T2*$C30</f>
        <v>0</v>
      </c>
      <c r="U30" s="9">
        <f>U2*$C30</f>
        <v>0</v>
      </c>
      <c r="V30" s="9">
        <f>V2*$C30</f>
        <v>9600000</v>
      </c>
      <c r="W30" s="9">
        <f>W2*$C30</f>
        <v>15360000</v>
      </c>
      <c r="Y30" s="9">
        <f>Y2*$C30</f>
        <v>0</v>
      </c>
      <c r="Z30" s="9">
        <f>Z2*$C30</f>
        <v>0</v>
      </c>
      <c r="AA30" s="9">
        <f>AA2*$C30</f>
        <v>9600000</v>
      </c>
      <c r="AB30" s="9">
        <f>AB2*$C30</f>
        <v>17280000</v>
      </c>
    </row>
    <row r="31" spans="2:28" s="9" customFormat="1">
      <c r="B31" s="9" t="s">
        <v>478</v>
      </c>
      <c r="E31" s="9">
        <f>E29-E30</f>
        <v>0</v>
      </c>
      <c r="F31" s="9">
        <f>F29-F30</f>
        <v>0</v>
      </c>
      <c r="G31" s="9">
        <f>G29-G30</f>
        <v>9360000</v>
      </c>
      <c r="H31" s="9">
        <f>H29-H30</f>
        <v>11440000</v>
      </c>
      <c r="J31" s="9">
        <f>J29-J30</f>
        <v>0</v>
      </c>
      <c r="K31" s="9">
        <f>K29-K30</f>
        <v>0</v>
      </c>
      <c r="L31" s="9">
        <f>L29-L30</f>
        <v>9360000</v>
      </c>
      <c r="M31" s="9">
        <f>M29-M30</f>
        <v>13520000</v>
      </c>
      <c r="O31" s="9">
        <f>O29-O30</f>
        <v>0</v>
      </c>
      <c r="P31" s="9">
        <f>P29-P30</f>
        <v>0</v>
      </c>
      <c r="Q31" s="9">
        <f>Q29-Q30</f>
        <v>10400000</v>
      </c>
      <c r="R31" s="9">
        <f>R29-R30</f>
        <v>14560000</v>
      </c>
      <c r="T31" s="9">
        <f>T29-T30</f>
        <v>0</v>
      </c>
      <c r="U31" s="9">
        <f>U29-U30</f>
        <v>0</v>
      </c>
      <c r="V31" s="9">
        <f>V29-V30</f>
        <v>10400000</v>
      </c>
      <c r="W31" s="9">
        <f>W29-W30</f>
        <v>16640000</v>
      </c>
      <c r="Y31" s="9">
        <f>Y29-Y30</f>
        <v>0</v>
      </c>
      <c r="Z31" s="9">
        <f>Z29-Z30</f>
        <v>0</v>
      </c>
      <c r="AA31" s="9">
        <f>AA29-AA30</f>
        <v>10400000</v>
      </c>
      <c r="AB31" s="9">
        <f>AB29-AB30</f>
        <v>18720000</v>
      </c>
    </row>
    <row r="32" spans="2:28" s="9" customFormat="1"/>
    <row r="33" spans="2:28" s="47" customFormat="1">
      <c r="B33" s="47" t="s">
        <v>480</v>
      </c>
      <c r="C33" s="149">
        <v>5.5</v>
      </c>
      <c r="E33" s="47">
        <f>E31*$C33</f>
        <v>0</v>
      </c>
      <c r="F33" s="47">
        <f>F31*$C33</f>
        <v>0</v>
      </c>
      <c r="G33" s="47">
        <f>G31*$C33</f>
        <v>51480000</v>
      </c>
      <c r="H33" s="47">
        <f>H31*$C33</f>
        <v>62920000</v>
      </c>
      <c r="J33" s="47">
        <f>J31*$C33</f>
        <v>0</v>
      </c>
      <c r="K33" s="47">
        <f>K31*$C33</f>
        <v>0</v>
      </c>
      <c r="L33" s="47">
        <f>L31*$C33</f>
        <v>51480000</v>
      </c>
      <c r="M33" s="47">
        <f>M31*$C33</f>
        <v>74360000</v>
      </c>
      <c r="O33" s="47">
        <f>O31*$C33</f>
        <v>0</v>
      </c>
      <c r="P33" s="47">
        <f>P31*$C33</f>
        <v>0</v>
      </c>
      <c r="Q33" s="47">
        <f>Q31*$C33</f>
        <v>57200000</v>
      </c>
      <c r="R33" s="47">
        <f>R31*$C33</f>
        <v>80080000</v>
      </c>
      <c r="T33" s="47">
        <f>T31*$C33</f>
        <v>0</v>
      </c>
      <c r="U33" s="47">
        <f>U31*$C33</f>
        <v>0</v>
      </c>
      <c r="V33" s="47">
        <f>V31*$C33</f>
        <v>57200000</v>
      </c>
      <c r="W33" s="47">
        <f>W31*$C33</f>
        <v>91520000</v>
      </c>
      <c r="Y33" s="47">
        <f>Y31*$C33</f>
        <v>0</v>
      </c>
      <c r="Z33" s="47">
        <f>Z31*$C33</f>
        <v>0</v>
      </c>
      <c r="AA33" s="47">
        <f>AA31*$C33</f>
        <v>57200000</v>
      </c>
      <c r="AB33" s="47">
        <f>AB31*$C33</f>
        <v>102960000</v>
      </c>
    </row>
    <row r="34" spans="2:28" s="9" customFormat="1"/>
    <row r="35" spans="2:28" s="47" customFormat="1">
      <c r="B35" s="47" t="s">
        <v>481</v>
      </c>
      <c r="E35" s="47">
        <f>-E33</f>
        <v>0</v>
      </c>
      <c r="F35" s="47">
        <f>-F33</f>
        <v>0</v>
      </c>
      <c r="G35" s="47">
        <f>-G33</f>
        <v>-51480000</v>
      </c>
      <c r="H35" s="47">
        <f>-H33</f>
        <v>-62920000</v>
      </c>
      <c r="J35" s="47">
        <f>-J33</f>
        <v>0</v>
      </c>
      <c r="K35" s="47">
        <f>-K33</f>
        <v>0</v>
      </c>
      <c r="L35" s="47">
        <f>-L33</f>
        <v>-51480000</v>
      </c>
      <c r="M35" s="47">
        <f>-M33</f>
        <v>-74360000</v>
      </c>
      <c r="O35" s="47">
        <f>-O33</f>
        <v>0</v>
      </c>
      <c r="P35" s="47">
        <f>-P33</f>
        <v>0</v>
      </c>
      <c r="Q35" s="47">
        <f>-Q33</f>
        <v>-57200000</v>
      </c>
      <c r="R35" s="47">
        <f>-R33</f>
        <v>-80080000</v>
      </c>
      <c r="T35" s="47">
        <f>-T33</f>
        <v>0</v>
      </c>
      <c r="U35" s="47">
        <f>-U33</f>
        <v>0</v>
      </c>
      <c r="V35" s="47">
        <f>-V33</f>
        <v>-57200000</v>
      </c>
      <c r="W35" s="47">
        <f>-W33</f>
        <v>-91520000</v>
      </c>
      <c r="Y35" s="47">
        <f>-Y33</f>
        <v>0</v>
      </c>
      <c r="Z35" s="47">
        <f>-Z33</f>
        <v>0</v>
      </c>
      <c r="AA35" s="47">
        <f>-AA33</f>
        <v>-57200000</v>
      </c>
      <c r="AB35" s="47">
        <f>-AB33</f>
        <v>-102960000</v>
      </c>
    </row>
    <row r="36" spans="2:28">
      <c r="E36" s="8"/>
    </row>
    <row r="37" spans="2:28">
      <c r="B37" s="1" t="s">
        <v>482</v>
      </c>
      <c r="E37" s="8"/>
    </row>
    <row r="38" spans="2:28">
      <c r="B38" t="s">
        <v>473</v>
      </c>
      <c r="C38">
        <f>D17</f>
        <v>55</v>
      </c>
      <c r="D38" t="s">
        <v>499</v>
      </c>
      <c r="E38" s="8"/>
    </row>
    <row r="39" spans="2:28">
      <c r="B39" t="s">
        <v>473</v>
      </c>
      <c r="C39">
        <f>C38*24</f>
        <v>1320</v>
      </c>
      <c r="D39" t="s">
        <v>500</v>
      </c>
      <c r="E39" s="8"/>
      <c r="G39" s="73"/>
    </row>
    <row r="40" spans="2:28">
      <c r="B40" t="s">
        <v>474</v>
      </c>
      <c r="C40">
        <f>C39/2</f>
        <v>660</v>
      </c>
      <c r="D40" t="s">
        <v>500</v>
      </c>
      <c r="E40" s="8"/>
      <c r="G40" s="73"/>
    </row>
    <row r="41" spans="2:28">
      <c r="C41" s="9"/>
      <c r="E41" s="8"/>
      <c r="G41" s="73"/>
    </row>
    <row r="42" spans="2:28">
      <c r="B42" t="s">
        <v>350</v>
      </c>
      <c r="C42" s="9">
        <f>C40/D11*1000</f>
        <v>183333.33333333334</v>
      </c>
      <c r="D42" t="s">
        <v>475</v>
      </c>
      <c r="E42" s="8"/>
    </row>
    <row r="43" spans="2:28">
      <c r="C43" s="9"/>
      <c r="E43" s="8"/>
    </row>
    <row r="44" spans="2:28" s="9" customFormat="1">
      <c r="B44" s="9" t="s">
        <v>476</v>
      </c>
      <c r="E44" s="9">
        <f>$C42*E1</f>
        <v>0</v>
      </c>
      <c r="F44" s="9">
        <f>$C42*F1</f>
        <v>0</v>
      </c>
      <c r="G44" s="9">
        <f>$C42*G1</f>
        <v>15125000</v>
      </c>
      <c r="H44" s="9">
        <f>$C42*H1</f>
        <v>15125000</v>
      </c>
      <c r="J44" s="9">
        <f>$C42*J1</f>
        <v>15125000</v>
      </c>
      <c r="K44" s="9">
        <f>$C42*K1</f>
        <v>15125000</v>
      </c>
      <c r="L44" s="9">
        <f>$C42*L1</f>
        <v>15125000</v>
      </c>
      <c r="M44" s="9">
        <f>$C42*M1</f>
        <v>15125000</v>
      </c>
      <c r="O44" s="9">
        <f>$C42*O1</f>
        <v>15125000</v>
      </c>
      <c r="P44" s="9">
        <f>$C42*P1</f>
        <v>15125000</v>
      </c>
      <c r="Q44" s="9">
        <f>$C42*Q1</f>
        <v>15125000</v>
      </c>
      <c r="R44" s="9">
        <f>$C42*R1</f>
        <v>15125000</v>
      </c>
      <c r="T44" s="9">
        <f>$C42*T1</f>
        <v>15125000</v>
      </c>
      <c r="U44" s="9">
        <f>$C42*U1</f>
        <v>15125000</v>
      </c>
      <c r="V44" s="9">
        <f>$C42*V1</f>
        <v>15125000</v>
      </c>
      <c r="W44" s="9">
        <f>$C42*W1</f>
        <v>15125000</v>
      </c>
      <c r="Y44" s="9">
        <f>$C42*Y1</f>
        <v>15125000</v>
      </c>
      <c r="Z44" s="9">
        <f>$C42*Z1</f>
        <v>15125000</v>
      </c>
      <c r="AA44" s="9">
        <f>$C42*AA1</f>
        <v>15125000</v>
      </c>
      <c r="AB44" s="9">
        <f>$C42*AB1</f>
        <v>15125000</v>
      </c>
    </row>
    <row r="45" spans="2:28" s="9" customFormat="1">
      <c r="B45" s="9" t="s">
        <v>477</v>
      </c>
      <c r="C45" s="9">
        <f>5*24*1000</f>
        <v>120000</v>
      </c>
      <c r="D45" s="9" t="str">
        <f>D42</f>
        <v>KWH/day</v>
      </c>
      <c r="E45" s="9">
        <f>E1*$C45</f>
        <v>0</v>
      </c>
      <c r="F45" s="9">
        <f>F1*$C45</f>
        <v>0</v>
      </c>
      <c r="G45" s="9">
        <f>G1*$C45</f>
        <v>9900000</v>
      </c>
      <c r="H45" s="9">
        <f>H1*$C45</f>
        <v>9900000</v>
      </c>
      <c r="J45" s="9">
        <f>J1*$C45</f>
        <v>9900000</v>
      </c>
      <c r="K45" s="9">
        <f>K1*$C45</f>
        <v>9900000</v>
      </c>
      <c r="L45" s="9">
        <f>L1*$C45</f>
        <v>9900000</v>
      </c>
      <c r="M45" s="9">
        <f>M1*$C45</f>
        <v>9900000</v>
      </c>
      <c r="O45" s="9">
        <f>O1*$C45</f>
        <v>9900000</v>
      </c>
      <c r="P45" s="9">
        <f>P1*$C45</f>
        <v>9900000</v>
      </c>
      <c r="Q45" s="9">
        <f>Q1*$C45</f>
        <v>9900000</v>
      </c>
      <c r="R45" s="9">
        <f>R1*$C45</f>
        <v>9900000</v>
      </c>
      <c r="T45" s="9">
        <f>T1*$C45</f>
        <v>9900000</v>
      </c>
      <c r="U45" s="9">
        <f>U1*$C45</f>
        <v>9900000</v>
      </c>
      <c r="V45" s="9">
        <f>V1*$C45</f>
        <v>9900000</v>
      </c>
      <c r="W45" s="9">
        <f>W1*$C45</f>
        <v>9900000</v>
      </c>
      <c r="Y45" s="9">
        <f>Y1*$C45</f>
        <v>9900000</v>
      </c>
      <c r="Z45" s="9">
        <f>Z1*$C45</f>
        <v>9900000</v>
      </c>
      <c r="AA45" s="9">
        <f>AA1*$C45</f>
        <v>9900000</v>
      </c>
      <c r="AB45" s="9">
        <f>AB1*$C45</f>
        <v>9900000</v>
      </c>
    </row>
    <row r="46" spans="2:28" s="9" customFormat="1">
      <c r="B46" s="9" t="s">
        <v>478</v>
      </c>
      <c r="E46" s="9">
        <f>E44-E45</f>
        <v>0</v>
      </c>
      <c r="F46" s="9">
        <f>F44-F45</f>
        <v>0</v>
      </c>
      <c r="G46" s="9">
        <f>G44-G45</f>
        <v>5225000</v>
      </c>
      <c r="H46" s="9">
        <f>H44-H45</f>
        <v>5225000</v>
      </c>
      <c r="J46" s="9">
        <f>J44-J45</f>
        <v>5225000</v>
      </c>
      <c r="K46" s="9">
        <f>K44-K45</f>
        <v>5225000</v>
      </c>
      <c r="L46" s="9">
        <f>L44-L45</f>
        <v>5225000</v>
      </c>
      <c r="M46" s="9">
        <f>M44-M45</f>
        <v>5225000</v>
      </c>
      <c r="O46" s="9">
        <f>O44-O45</f>
        <v>5225000</v>
      </c>
      <c r="P46" s="9">
        <f>P44-P45</f>
        <v>5225000</v>
      </c>
      <c r="Q46" s="9">
        <f>Q44-Q45</f>
        <v>5225000</v>
      </c>
      <c r="R46" s="9">
        <f>R44-R45</f>
        <v>5225000</v>
      </c>
      <c r="T46" s="9">
        <f>T44-T45</f>
        <v>5225000</v>
      </c>
      <c r="U46" s="9">
        <f>U44-U45</f>
        <v>5225000</v>
      </c>
      <c r="V46" s="9">
        <f>V44-V45</f>
        <v>5225000</v>
      </c>
      <c r="W46" s="9">
        <f>W44-W45</f>
        <v>5225000</v>
      </c>
      <c r="Y46" s="9">
        <f>Y44-Y45</f>
        <v>5225000</v>
      </c>
      <c r="Z46" s="9">
        <f>Z44-Z45</f>
        <v>5225000</v>
      </c>
      <c r="AA46" s="9">
        <f>AA44-AA45</f>
        <v>5225000</v>
      </c>
      <c r="AB46" s="9">
        <f>AB44-AB45</f>
        <v>5225000</v>
      </c>
    </row>
    <row r="47" spans="2:28" s="9" customFormat="1"/>
    <row r="48" spans="2:28" s="47" customFormat="1">
      <c r="B48" s="47" t="s">
        <v>480</v>
      </c>
      <c r="C48" s="149">
        <v>5.5</v>
      </c>
      <c r="D48" s="47" t="s">
        <v>503</v>
      </c>
      <c r="E48" s="47">
        <f>E46*$C48</f>
        <v>0</v>
      </c>
      <c r="F48" s="47">
        <f>F46*$C48</f>
        <v>0</v>
      </c>
      <c r="G48" s="47">
        <f>G46*$C48</f>
        <v>28737500</v>
      </c>
      <c r="H48" s="47">
        <f>H46*$C48</f>
        <v>28737500</v>
      </c>
      <c r="J48" s="47">
        <f>J46*$C48</f>
        <v>28737500</v>
      </c>
      <c r="K48" s="47">
        <f>K46*$C48</f>
        <v>28737500</v>
      </c>
      <c r="L48" s="47">
        <f>L46*$C48</f>
        <v>28737500</v>
      </c>
      <c r="M48" s="47">
        <f>M46*$C48</f>
        <v>28737500</v>
      </c>
      <c r="O48" s="47">
        <f>O46*$C48</f>
        <v>28737500</v>
      </c>
      <c r="P48" s="47">
        <f>P46*$C48</f>
        <v>28737500</v>
      </c>
      <c r="Q48" s="47">
        <f>Q46*$C48</f>
        <v>28737500</v>
      </c>
      <c r="R48" s="47">
        <f>R46*$C48</f>
        <v>28737500</v>
      </c>
      <c r="T48" s="47">
        <f>T46*$C48</f>
        <v>28737500</v>
      </c>
      <c r="U48" s="47">
        <f>U46*$C48</f>
        <v>28737500</v>
      </c>
      <c r="V48" s="47">
        <f>V46*$C48</f>
        <v>28737500</v>
      </c>
      <c r="W48" s="47">
        <f>W46*$C48</f>
        <v>28737500</v>
      </c>
      <c r="Y48" s="47">
        <f>Y46*$C48</f>
        <v>28737500</v>
      </c>
      <c r="Z48" s="47">
        <f>Z46*$C48</f>
        <v>28737500</v>
      </c>
      <c r="AA48" s="47">
        <f>AA46*$C48</f>
        <v>28737500</v>
      </c>
      <c r="AB48" s="47">
        <f>AB46*$C48</f>
        <v>28737500</v>
      </c>
    </row>
    <row r="49" spans="2:28" s="9" customFormat="1"/>
    <row r="50" spans="2:28" s="9" customFormat="1"/>
    <row r="51" spans="2:28" s="9" customFormat="1"/>
    <row r="52" spans="2:28">
      <c r="B52" s="47" t="s">
        <v>485</v>
      </c>
    </row>
    <row r="53" spans="2:28">
      <c r="B53" s="9" t="s">
        <v>483</v>
      </c>
      <c r="C53" s="9">
        <v>4500</v>
      </c>
      <c r="D53" t="s">
        <v>484</v>
      </c>
      <c r="E53" s="9">
        <f>$C53*E77</f>
        <v>0</v>
      </c>
      <c r="F53" s="9">
        <f>$C53*F77</f>
        <v>0</v>
      </c>
      <c r="G53" s="9">
        <f>$C53*G77</f>
        <v>0</v>
      </c>
      <c r="H53" s="9">
        <f>$C53*H77</f>
        <v>0</v>
      </c>
      <c r="J53" s="9">
        <f>$C53*J77</f>
        <v>0</v>
      </c>
      <c r="K53" s="9">
        <f>$C53*K77</f>
        <v>0</v>
      </c>
      <c r="L53" s="9">
        <f>$C53*L77</f>
        <v>0</v>
      </c>
      <c r="M53" s="9">
        <f>$C53*M77</f>
        <v>0</v>
      </c>
      <c r="O53" s="9">
        <f>$C53*O77</f>
        <v>0</v>
      </c>
      <c r="P53" s="9">
        <f>$C53*P77</f>
        <v>29469100.714285661</v>
      </c>
      <c r="Q53" s="9">
        <f>$C53*Q77</f>
        <v>0</v>
      </c>
      <c r="R53" s="9">
        <f>$C53*R77</f>
        <v>0</v>
      </c>
      <c r="T53" s="9">
        <f>$C53*T77</f>
        <v>0</v>
      </c>
      <c r="U53" s="9">
        <f>$C53*U77</f>
        <v>51119999.999999978</v>
      </c>
      <c r="V53" s="9">
        <f>$C53*V77</f>
        <v>0</v>
      </c>
      <c r="W53" s="9">
        <f>$C53*W77</f>
        <v>0</v>
      </c>
      <c r="Y53" s="9">
        <f>$C53*Y77</f>
        <v>0</v>
      </c>
      <c r="Z53" s="9">
        <f>$C53*Z77</f>
        <v>0</v>
      </c>
      <c r="AA53" s="9">
        <f>$C53*AA77</f>
        <v>0</v>
      </c>
      <c r="AB53" s="9">
        <f>$C53*AB77</f>
        <v>0</v>
      </c>
    </row>
    <row r="54" spans="2:28" s="9" customFormat="1"/>
    <row r="55" spans="2:28" s="47" customFormat="1">
      <c r="B55" s="47" t="s">
        <v>486</v>
      </c>
      <c r="E55" s="47">
        <f>-E48+E53</f>
        <v>0</v>
      </c>
      <c r="F55" s="47">
        <f>-F48+F53</f>
        <v>0</v>
      </c>
      <c r="G55" s="47">
        <f>-G48+G53</f>
        <v>-28737500</v>
      </c>
      <c r="H55" s="47">
        <f>-H48+H53</f>
        <v>-28737500</v>
      </c>
      <c r="J55" s="47">
        <f>-J48+J53</f>
        <v>-28737500</v>
      </c>
      <c r="K55" s="47">
        <f>-K48+K53</f>
        <v>-28737500</v>
      </c>
      <c r="L55" s="47">
        <f>-L48+L53</f>
        <v>-28737500</v>
      </c>
      <c r="M55" s="47">
        <f>-M48+M53</f>
        <v>-28737500</v>
      </c>
      <c r="O55" s="47">
        <f>-O48+O53</f>
        <v>-28737500</v>
      </c>
      <c r="P55" s="47">
        <f>-P48+P53</f>
        <v>731600.71428566054</v>
      </c>
      <c r="Q55" s="47">
        <f>-Q48+Q53</f>
        <v>-28737500</v>
      </c>
      <c r="R55" s="47">
        <f>-R48+R53</f>
        <v>-28737500</v>
      </c>
      <c r="T55" s="47">
        <f>-T48+T53</f>
        <v>-28737500</v>
      </c>
      <c r="U55" s="47">
        <f>-U48+U53</f>
        <v>22382499.999999978</v>
      </c>
      <c r="V55" s="47">
        <f>-V48+V53</f>
        <v>-28737500</v>
      </c>
      <c r="W55" s="47">
        <f>-W48+W53</f>
        <v>-28737500</v>
      </c>
      <c r="Y55" s="47">
        <f>-Y48+Y53</f>
        <v>-28737500</v>
      </c>
      <c r="Z55" s="47">
        <f>-Z48+Z53</f>
        <v>-28737500</v>
      </c>
      <c r="AA55" s="47">
        <f>-AA48+AA53</f>
        <v>-28737500</v>
      </c>
      <c r="AB55" s="47">
        <f>-AB48+AB53</f>
        <v>-28737500</v>
      </c>
    </row>
    <row r="56" spans="2:28">
      <c r="E56" s="8"/>
    </row>
    <row r="57" spans="2:28">
      <c r="E57" s="8"/>
    </row>
    <row r="58" spans="2:28">
      <c r="B58" s="1" t="s">
        <v>516</v>
      </c>
    </row>
    <row r="59" spans="2:28">
      <c r="B59" t="s">
        <v>288</v>
      </c>
      <c r="E59" s="10">
        <f>E44*$D$10</f>
        <v>0</v>
      </c>
      <c r="F59" s="10">
        <f>F44*$D$10</f>
        <v>0</v>
      </c>
      <c r="G59" s="10">
        <f>G29*$D$10/1000</f>
        <v>129600</v>
      </c>
      <c r="H59" s="10">
        <f>H29*$D$10/1000</f>
        <v>158400</v>
      </c>
      <c r="J59" s="10">
        <f>J29*$D$10/1000</f>
        <v>0</v>
      </c>
      <c r="K59" s="10">
        <f>K29*$D$10/1000</f>
        <v>0</v>
      </c>
      <c r="L59" s="10">
        <f>L29*$D$10/1000</f>
        <v>129600</v>
      </c>
      <c r="M59" s="10">
        <f>M29*$D$10/1000</f>
        <v>187200</v>
      </c>
      <c r="O59" s="10">
        <f>O29*$D$10/1000</f>
        <v>0</v>
      </c>
      <c r="P59" s="10">
        <f>P29*$D$10/1000</f>
        <v>0</v>
      </c>
      <c r="Q59" s="10">
        <f>Q29*$D$10/1000</f>
        <v>144000</v>
      </c>
      <c r="R59" s="10">
        <f>R29*$D$10/1000</f>
        <v>201600</v>
      </c>
      <c r="T59" s="10">
        <f>T29*$D$10/1000</f>
        <v>0</v>
      </c>
      <c r="U59" s="10">
        <f>U29*$D$10/1000</f>
        <v>0</v>
      </c>
      <c r="V59" s="10">
        <f>V29*$D$10/1000</f>
        <v>144000</v>
      </c>
      <c r="W59" s="10">
        <f>W29*$D$10/1000</f>
        <v>230400</v>
      </c>
      <c r="Y59" s="10">
        <f>Y29*$D$10/1000</f>
        <v>0</v>
      </c>
      <c r="Z59" s="10">
        <f>Z29*$D$10/1000</f>
        <v>0</v>
      </c>
      <c r="AA59" s="10">
        <f>AA29*$D$10/1000</f>
        <v>144000</v>
      </c>
      <c r="AB59" s="10">
        <f>AB29*$D$10/1000</f>
        <v>259200</v>
      </c>
    </row>
    <row r="60" spans="2:28">
      <c r="B60" t="s">
        <v>343</v>
      </c>
      <c r="G60" s="10">
        <f>G44*$D$10/1000</f>
        <v>108900</v>
      </c>
      <c r="H60" s="10">
        <f>H44*$D$10/1000</f>
        <v>108900</v>
      </c>
      <c r="J60" s="10">
        <f>J44*$D$10/1000</f>
        <v>108900</v>
      </c>
      <c r="K60" s="10">
        <f>K44*$D$10/1000</f>
        <v>108900</v>
      </c>
      <c r="L60" s="10">
        <f>L44*$D$10/1000</f>
        <v>108900</v>
      </c>
      <c r="M60" s="10">
        <f>M44*$D$10/1000</f>
        <v>108900</v>
      </c>
      <c r="O60" s="10">
        <f>O44*$D$10/1000</f>
        <v>108900</v>
      </c>
      <c r="P60" s="10">
        <f>P44*$D$10/1000</f>
        <v>108900</v>
      </c>
      <c r="Q60" s="10">
        <f>Q44*$D$10/1000</f>
        <v>108900</v>
      </c>
      <c r="R60" s="10">
        <f>R44*$D$10/1000</f>
        <v>108900</v>
      </c>
      <c r="T60" s="10">
        <f>T44*$D$10/1000</f>
        <v>108900</v>
      </c>
      <c r="U60" s="10">
        <f>U44*$D$10/1000</f>
        <v>108900</v>
      </c>
      <c r="V60" s="10">
        <f>V44*$D$10/1000</f>
        <v>108900</v>
      </c>
      <c r="W60" s="10">
        <f>W44*$D$10/1000</f>
        <v>108900</v>
      </c>
      <c r="Y60" s="10">
        <f>Y44*$D$10/1000</f>
        <v>108900</v>
      </c>
      <c r="Z60" s="10">
        <f>Z44*$D$10/1000</f>
        <v>108900</v>
      </c>
      <c r="AA60" s="10">
        <f>AA44*$D$10/1000</f>
        <v>108900</v>
      </c>
      <c r="AB60" s="10">
        <f>AB44*$D$10/1000</f>
        <v>108900</v>
      </c>
    </row>
    <row r="61" spans="2:28" s="1" customFormat="1">
      <c r="G61" s="173">
        <f>SUM(G59:G60)</f>
        <v>238500</v>
      </c>
      <c r="H61" s="173">
        <f>SUM(H59:H60)</f>
        <v>267300</v>
      </c>
      <c r="J61" s="173">
        <f>SUM(J59:J60)</f>
        <v>108900</v>
      </c>
      <c r="K61" s="173">
        <f>SUM(K59:K60)</f>
        <v>108900</v>
      </c>
      <c r="L61" s="173">
        <f>SUM(L59:L60)</f>
        <v>238500</v>
      </c>
      <c r="M61" s="173">
        <f>SUM(M59:M60)</f>
        <v>296100</v>
      </c>
      <c r="O61" s="173">
        <f>SUM(O59:O60)</f>
        <v>108900</v>
      </c>
      <c r="P61" s="173">
        <f>SUM(P59:P60)</f>
        <v>108900</v>
      </c>
      <c r="Q61" s="173">
        <f>SUM(Q59:Q60)</f>
        <v>252900</v>
      </c>
      <c r="R61" s="173">
        <f>SUM(R59:R60)</f>
        <v>310500</v>
      </c>
      <c r="T61" s="173">
        <f>SUM(T59:T60)</f>
        <v>108900</v>
      </c>
      <c r="U61" s="173">
        <f>SUM(U59:U60)</f>
        <v>108900</v>
      </c>
      <c r="V61" s="173">
        <f>SUM(V59:V60)</f>
        <v>252900</v>
      </c>
      <c r="W61" s="173">
        <f>SUM(W59:W60)</f>
        <v>339300</v>
      </c>
      <c r="Y61" s="173">
        <f>SUM(Y59:Y60)</f>
        <v>108900</v>
      </c>
      <c r="Z61" s="173">
        <f>SUM(Z59:Z60)</f>
        <v>108900</v>
      </c>
      <c r="AA61" s="173">
        <f>SUM(AA59:AA60)</f>
        <v>252900</v>
      </c>
      <c r="AB61" s="173">
        <f>SUM(AB59:AB60)</f>
        <v>368100</v>
      </c>
    </row>
    <row r="62" spans="2:28">
      <c r="G62" s="10"/>
      <c r="H62" s="10"/>
      <c r="J62" s="10"/>
      <c r="K62" s="10"/>
      <c r="L62" s="10"/>
      <c r="M62" s="10"/>
      <c r="O62" s="10"/>
      <c r="P62" s="10"/>
      <c r="Q62" s="10"/>
      <c r="R62" s="10"/>
      <c r="T62" s="10"/>
      <c r="U62" s="10"/>
      <c r="V62" s="10"/>
      <c r="W62" s="10"/>
      <c r="Y62" s="10"/>
      <c r="Z62" s="10"/>
      <c r="AA62" s="10"/>
      <c r="AB62" s="10"/>
    </row>
    <row r="63" spans="2:28">
      <c r="B63" t="s">
        <v>523</v>
      </c>
      <c r="G63" s="10">
        <f>G59/$D65</f>
        <v>36000</v>
      </c>
      <c r="H63" s="10">
        <f>H59/$D65</f>
        <v>44000</v>
      </c>
      <c r="J63" s="10">
        <f>J59/$D65</f>
        <v>0</v>
      </c>
      <c r="K63" s="10">
        <f>K59/$D65</f>
        <v>0</v>
      </c>
      <c r="L63" s="10">
        <f>L59/$D65</f>
        <v>36000</v>
      </c>
      <c r="M63" s="10">
        <f>M59/$D65</f>
        <v>52000</v>
      </c>
      <c r="O63" s="10">
        <f>O59/$D65</f>
        <v>0</v>
      </c>
      <c r="P63" s="10">
        <f>P59/$D65</f>
        <v>0</v>
      </c>
      <c r="Q63" s="10">
        <f>Q59/$D65</f>
        <v>40000</v>
      </c>
      <c r="R63" s="10">
        <f>R59/$D65</f>
        <v>56000</v>
      </c>
      <c r="T63" s="10">
        <f>T59/$D65</f>
        <v>0</v>
      </c>
      <c r="U63" s="10">
        <f>U59/$D65</f>
        <v>0</v>
      </c>
      <c r="V63" s="10">
        <f>V59/$D65</f>
        <v>40000</v>
      </c>
      <c r="W63" s="10">
        <f>W59/$D65</f>
        <v>64000</v>
      </c>
      <c r="Y63" s="10">
        <f>Y59/$D65</f>
        <v>0</v>
      </c>
      <c r="Z63" s="10">
        <f>Z59/$D65</f>
        <v>0</v>
      </c>
      <c r="AA63" s="10">
        <f>AA59/$D65</f>
        <v>40000</v>
      </c>
      <c r="AB63" s="10">
        <f>AB59/$D65</f>
        <v>72000</v>
      </c>
    </row>
    <row r="64" spans="2:28">
      <c r="B64" t="s">
        <v>524</v>
      </c>
      <c r="G64" s="10">
        <f>G60/$D65</f>
        <v>30250</v>
      </c>
      <c r="H64" s="10">
        <f>H60/$D65</f>
        <v>30250</v>
      </c>
      <c r="J64" s="10">
        <f>J60/$D65</f>
        <v>30250</v>
      </c>
      <c r="K64" s="10">
        <f>K60/$D65</f>
        <v>30250</v>
      </c>
      <c r="L64" s="10">
        <f>L60/$D65</f>
        <v>30250</v>
      </c>
      <c r="M64" s="10">
        <f>M60/$D65</f>
        <v>30250</v>
      </c>
      <c r="O64" s="10">
        <f>O60/$D65</f>
        <v>30250</v>
      </c>
      <c r="P64" s="10">
        <f>P60/$D65</f>
        <v>30250</v>
      </c>
      <c r="Q64" s="10">
        <f>Q60/$D65</f>
        <v>30250</v>
      </c>
      <c r="R64" s="10">
        <f>R60/$D65</f>
        <v>30250</v>
      </c>
      <c r="T64" s="10">
        <f>T60/$D65</f>
        <v>30250</v>
      </c>
      <c r="U64" s="10">
        <f>U60/$D65</f>
        <v>30250</v>
      </c>
      <c r="V64" s="10">
        <f>V60/$D65</f>
        <v>30250</v>
      </c>
      <c r="W64" s="10">
        <f>W60/$D65</f>
        <v>30250</v>
      </c>
      <c r="Y64" s="10">
        <f>Y60/$D65</f>
        <v>30250</v>
      </c>
      <c r="Z64" s="10">
        <f>Z60/$D65</f>
        <v>30250</v>
      </c>
      <c r="AA64" s="10">
        <f>AA60/$D65</f>
        <v>30250</v>
      </c>
      <c r="AB64" s="10">
        <f>AB60/$D65</f>
        <v>30250</v>
      </c>
    </row>
    <row r="65" spans="2:28">
      <c r="B65" t="s">
        <v>517</v>
      </c>
      <c r="D65" s="172">
        <f>D11</f>
        <v>3.6</v>
      </c>
      <c r="G65" s="9">
        <f>SUM(G63:G64)</f>
        <v>66250</v>
      </c>
      <c r="H65" s="9">
        <f>SUM(H63:H64)</f>
        <v>74250</v>
      </c>
      <c r="J65" s="9">
        <f>SUM(J63:J64)</f>
        <v>30250</v>
      </c>
      <c r="K65" s="9">
        <f>SUM(K63:K64)</f>
        <v>30250</v>
      </c>
      <c r="L65" s="9">
        <f>SUM(L63:L64)</f>
        <v>66250</v>
      </c>
      <c r="M65" s="9">
        <f>SUM(M63:M64)</f>
        <v>82250</v>
      </c>
      <c r="O65" s="9">
        <f>SUM(O63:O64)</f>
        <v>30250</v>
      </c>
      <c r="P65" s="9">
        <f>SUM(P63:P64)</f>
        <v>30250</v>
      </c>
      <c r="Q65" s="9">
        <f>SUM(Q63:Q64)</f>
        <v>70250</v>
      </c>
      <c r="R65" s="9">
        <f>SUM(R63:R64)</f>
        <v>86250</v>
      </c>
      <c r="T65" s="9">
        <f>SUM(T63:T64)</f>
        <v>30250</v>
      </c>
      <c r="U65" s="9">
        <f>SUM(U63:U64)</f>
        <v>30250</v>
      </c>
      <c r="V65" s="9">
        <f>SUM(V63:V64)</f>
        <v>70250</v>
      </c>
      <c r="W65" s="9">
        <f>SUM(W63:W64)</f>
        <v>94250</v>
      </c>
      <c r="Y65" s="9">
        <f>SUM(Y63:Y64)</f>
        <v>30250</v>
      </c>
      <c r="Z65" s="9">
        <f>SUM(Z63:Z64)</f>
        <v>30250</v>
      </c>
      <c r="AA65" s="9">
        <f>SUM(AA63:AA64)</f>
        <v>70250</v>
      </c>
      <c r="AB65" s="9">
        <f>SUM(AB63:AB64)</f>
        <v>102250</v>
      </c>
    </row>
    <row r="67" spans="2:28">
      <c r="G67" s="10"/>
      <c r="H67" s="10"/>
      <c r="J67" s="10"/>
      <c r="K67" s="10"/>
      <c r="L67" s="10"/>
      <c r="M67" s="10"/>
      <c r="O67" s="10"/>
      <c r="P67" s="10"/>
      <c r="Q67" s="10"/>
      <c r="R67" s="10"/>
      <c r="T67" s="10"/>
      <c r="U67" s="10"/>
      <c r="V67" s="10"/>
      <c r="W67" s="10"/>
      <c r="Y67" s="10"/>
      <c r="Z67" s="10"/>
      <c r="AA67" s="10"/>
      <c r="AB67" s="10"/>
    </row>
    <row r="68" spans="2:28">
      <c r="G68" s="10"/>
      <c r="H68" s="10"/>
      <c r="J68" s="10"/>
      <c r="K68" s="10"/>
      <c r="L68" s="10"/>
      <c r="M68" s="10"/>
      <c r="O68" s="10"/>
      <c r="P68" s="10"/>
      <c r="Q68" s="10"/>
      <c r="R68" s="10"/>
      <c r="T68" s="10"/>
      <c r="U68" s="10"/>
      <c r="V68" s="10"/>
      <c r="W68" s="10"/>
      <c r="Y68" s="10"/>
      <c r="Z68" s="10"/>
      <c r="AA68" s="10"/>
      <c r="AB68" s="10"/>
    </row>
    <row r="69" spans="2:28">
      <c r="B69" s="1" t="s">
        <v>518</v>
      </c>
    </row>
    <row r="70" spans="2:28">
      <c r="B70" t="s">
        <v>357</v>
      </c>
      <c r="E70" s="9">
        <f>D74</f>
        <v>84859.794166666674</v>
      </c>
      <c r="F70" s="9">
        <f>E74</f>
        <v>84859.794166666674</v>
      </c>
      <c r="G70" s="9">
        <f>F74</f>
        <v>84859.794166666674</v>
      </c>
      <c r="H70" s="9">
        <f>G74</f>
        <v>89169.794166666688</v>
      </c>
      <c r="J70" s="10">
        <f>H74</f>
        <v>88839.794166666688</v>
      </c>
      <c r="K70" s="10">
        <f>J74</f>
        <v>58589.794166666688</v>
      </c>
      <c r="L70" s="10">
        <f>K74</f>
        <v>28339.794166666688</v>
      </c>
      <c r="M70" s="10">
        <f>L74</f>
        <v>37689.794166666688</v>
      </c>
      <c r="O70" s="10">
        <f>M74</f>
        <v>49039.794166666688</v>
      </c>
      <c r="P70" s="10">
        <f>O74</f>
        <v>18789.794166666688</v>
      </c>
      <c r="Q70" s="10">
        <f>P74</f>
        <v>0</v>
      </c>
      <c r="R70" s="10">
        <f>Q74</f>
        <v>19350.000000000015</v>
      </c>
      <c r="T70" s="10">
        <f>R74</f>
        <v>40620.000000000015</v>
      </c>
      <c r="U70" s="10">
        <f>T74</f>
        <v>10370.000000000015</v>
      </c>
      <c r="V70" s="10">
        <f>U74</f>
        <v>0</v>
      </c>
      <c r="W70" s="10">
        <f>V74</f>
        <v>27190.000000000015</v>
      </c>
      <c r="Y70" s="10">
        <f>W74</f>
        <v>66572</v>
      </c>
      <c r="Z70" s="10">
        <f>Y74</f>
        <v>36322</v>
      </c>
      <c r="AA70" s="10">
        <f>Z74</f>
        <v>6072</v>
      </c>
      <c r="AB70" s="10">
        <f>AA74</f>
        <v>42222.000000000015</v>
      </c>
    </row>
    <row r="71" spans="2:28">
      <c r="B71" t="s">
        <v>519</v>
      </c>
      <c r="E71" s="9">
        <f>Sugar!E27</f>
        <v>0</v>
      </c>
      <c r="F71" s="9">
        <f>Sugar!F27</f>
        <v>0</v>
      </c>
      <c r="G71" s="9">
        <f>Sugar!G27</f>
        <v>70560</v>
      </c>
      <c r="H71" s="9">
        <f>Sugar!H27</f>
        <v>73920</v>
      </c>
      <c r="J71" s="9">
        <f>Sugar!J27</f>
        <v>0</v>
      </c>
      <c r="K71" s="9">
        <f>Sugar!K27</f>
        <v>0</v>
      </c>
      <c r="L71" s="9">
        <f>Sugar!L27</f>
        <v>75600</v>
      </c>
      <c r="M71" s="9">
        <f>Sugar!M27</f>
        <v>93600</v>
      </c>
      <c r="O71" s="9">
        <f>Sugar!O27</f>
        <v>0</v>
      </c>
      <c r="P71" s="9">
        <f>Sugar!P27</f>
        <v>0</v>
      </c>
      <c r="Q71" s="9">
        <f>Sugar!Q27</f>
        <v>89600.000000000015</v>
      </c>
      <c r="R71" s="9">
        <f>Sugar!R27</f>
        <v>107520</v>
      </c>
      <c r="T71" s="9">
        <f>Sugar!T27</f>
        <v>0</v>
      </c>
      <c r="U71" s="9">
        <f>Sugar!U27</f>
        <v>0</v>
      </c>
      <c r="V71" s="9">
        <f>Sugar!V27</f>
        <v>97440.000000000015</v>
      </c>
      <c r="W71" s="9">
        <f>Sugar!W27</f>
        <v>133632</v>
      </c>
      <c r="Y71" s="9">
        <f>Sugar!Y27</f>
        <v>0</v>
      </c>
      <c r="Z71" s="9">
        <f>Sugar!Z27</f>
        <v>0</v>
      </c>
      <c r="AA71" s="9">
        <f>Sugar!AA27</f>
        <v>106400.00000000001</v>
      </c>
      <c r="AB71" s="9">
        <f>Sugar!AB27</f>
        <v>164160</v>
      </c>
    </row>
    <row r="72" spans="2:28">
      <c r="B72" t="s">
        <v>520</v>
      </c>
      <c r="D72">
        <f>D11</f>
        <v>3.6</v>
      </c>
      <c r="E72" s="9"/>
      <c r="F72" s="9"/>
      <c r="G72" s="9">
        <f>G63</f>
        <v>36000</v>
      </c>
      <c r="H72" s="9">
        <f>H63</f>
        <v>44000</v>
      </c>
      <c r="J72" s="9">
        <f t="shared" ref="J72:AB72" si="2">J63</f>
        <v>0</v>
      </c>
      <c r="K72" s="9">
        <f t="shared" si="2"/>
        <v>0</v>
      </c>
      <c r="L72" s="9">
        <f t="shared" si="2"/>
        <v>36000</v>
      </c>
      <c r="M72" s="9">
        <f t="shared" si="2"/>
        <v>52000</v>
      </c>
      <c r="O72" s="9">
        <f t="shared" si="2"/>
        <v>0</v>
      </c>
      <c r="P72" s="9">
        <f t="shared" si="2"/>
        <v>0</v>
      </c>
      <c r="Q72" s="9">
        <f t="shared" si="2"/>
        <v>40000</v>
      </c>
      <c r="R72" s="9">
        <f t="shared" si="2"/>
        <v>56000</v>
      </c>
      <c r="T72" s="9">
        <f t="shared" si="2"/>
        <v>0</v>
      </c>
      <c r="U72" s="9">
        <f t="shared" si="2"/>
        <v>0</v>
      </c>
      <c r="V72" s="9">
        <f t="shared" si="2"/>
        <v>40000</v>
      </c>
      <c r="W72" s="9">
        <f t="shared" si="2"/>
        <v>64000</v>
      </c>
      <c r="Y72" s="9">
        <f t="shared" si="2"/>
        <v>0</v>
      </c>
      <c r="Z72" s="9">
        <f t="shared" si="2"/>
        <v>0</v>
      </c>
      <c r="AA72" s="9">
        <f t="shared" si="2"/>
        <v>40000</v>
      </c>
      <c r="AB72" s="9">
        <f t="shared" si="2"/>
        <v>72000</v>
      </c>
    </row>
    <row r="73" spans="2:28">
      <c r="B73" t="s">
        <v>521</v>
      </c>
      <c r="D73">
        <f>D72</f>
        <v>3.6</v>
      </c>
      <c r="E73" s="9"/>
      <c r="F73" s="9"/>
      <c r="G73" s="9">
        <f>MIN(G64,G70+G71-G72)</f>
        <v>30250</v>
      </c>
      <c r="H73" s="9">
        <f>MIN(H64,H70+H71-H72)</f>
        <v>30250</v>
      </c>
      <c r="J73" s="9">
        <f>MIN(J64,J70+J71-J72)</f>
        <v>30250</v>
      </c>
      <c r="K73" s="9">
        <f>MIN(K64,K70+K71-K72)</f>
        <v>30250</v>
      </c>
      <c r="L73" s="9">
        <f>MIN(L64,L70+L71-L72)</f>
        <v>30250</v>
      </c>
      <c r="M73" s="9">
        <f>MIN(M64,M70+M71-M72)</f>
        <v>30250</v>
      </c>
      <c r="O73" s="9">
        <f>MIN(O64,O70+O71-O72)</f>
        <v>30250</v>
      </c>
      <c r="P73" s="9">
        <f>MIN(P64,P70+P71-P72)</f>
        <v>18789.794166666688</v>
      </c>
      <c r="Q73" s="9">
        <f>MIN(Q64,Q70+Q71-Q72)</f>
        <v>30250</v>
      </c>
      <c r="R73" s="9">
        <f>MIN(R64,R70+R71-R72)</f>
        <v>30250</v>
      </c>
      <c r="T73" s="9">
        <f>MIN(T64,T70+T71-T72)</f>
        <v>30250</v>
      </c>
      <c r="U73" s="9">
        <f>MIN(U64,U70+U71-U72)</f>
        <v>10370.000000000015</v>
      </c>
      <c r="V73" s="9">
        <f>MIN(V64,V70+V71-V72)</f>
        <v>30250</v>
      </c>
      <c r="W73" s="9">
        <f>MIN(W64,W70+W71-W72)</f>
        <v>30250</v>
      </c>
      <c r="Y73" s="9">
        <f>MIN(Y64,Y70+Y71-Y72)</f>
        <v>30250</v>
      </c>
      <c r="Z73" s="9">
        <f>MIN(Z64,Z70+Z71-Z72)</f>
        <v>30250</v>
      </c>
      <c r="AA73" s="9">
        <f>MIN(AA64,AA70+AA71-AA72)</f>
        <v>30250</v>
      </c>
      <c r="AB73" s="9">
        <f>MIN(AB64,AB70+AB71-AB72)</f>
        <v>30250</v>
      </c>
    </row>
    <row r="74" spans="2:28" s="1" customFormat="1">
      <c r="B74" s="1" t="s">
        <v>267</v>
      </c>
      <c r="D74" s="47">
        <f>Sugar!C102</f>
        <v>84859.794166666674</v>
      </c>
      <c r="E74" s="47">
        <f>E70+E71-E72-E73</f>
        <v>84859.794166666674</v>
      </c>
      <c r="F74" s="47">
        <f>F70+F71-F72-F73</f>
        <v>84859.794166666674</v>
      </c>
      <c r="G74" s="47">
        <f>G70+G71-G72-G73</f>
        <v>89169.794166666688</v>
      </c>
      <c r="H74" s="47">
        <f>H70+H71-H72-H73</f>
        <v>88839.794166666688</v>
      </c>
      <c r="J74" s="47">
        <f>J70+J71-J72-J73</f>
        <v>58589.794166666688</v>
      </c>
      <c r="K74" s="47">
        <f>K70+K71-K72-K73</f>
        <v>28339.794166666688</v>
      </c>
      <c r="L74" s="47">
        <f>L70+L71-L72-L73</f>
        <v>37689.794166666688</v>
      </c>
      <c r="M74" s="47">
        <f>M70+M71-M72-M73</f>
        <v>49039.794166666688</v>
      </c>
      <c r="O74" s="47">
        <f>O70+O71-O72-O73</f>
        <v>18789.794166666688</v>
      </c>
      <c r="P74" s="47">
        <f>P70+P71-P72-P73</f>
        <v>0</v>
      </c>
      <c r="Q74" s="47">
        <f>Q70+Q71-Q72-Q73</f>
        <v>19350.000000000015</v>
      </c>
      <c r="R74" s="47">
        <f>R70+R71-R72-R73</f>
        <v>40620.000000000015</v>
      </c>
      <c r="T74" s="47">
        <f>T70+T71-T72-T73</f>
        <v>10370.000000000015</v>
      </c>
      <c r="U74" s="47">
        <f>U70+U71-U72-U73</f>
        <v>0</v>
      </c>
      <c r="V74" s="47">
        <f>V70+V71-V72-V73</f>
        <v>27190.000000000015</v>
      </c>
      <c r="W74" s="47">
        <f>W70+W71-W72-W73</f>
        <v>66572</v>
      </c>
      <c r="Y74" s="47">
        <f>Y70+Y71-Y72-Y73</f>
        <v>36322</v>
      </c>
      <c r="Z74" s="47">
        <f>Z70+Z71-Z72-Z73</f>
        <v>6072</v>
      </c>
      <c r="AA74" s="47">
        <f>AA70+AA71-AA72-AA73</f>
        <v>42222.000000000015</v>
      </c>
      <c r="AB74" s="47">
        <f>AB70+AB71-AB72-AB73</f>
        <v>104132</v>
      </c>
    </row>
    <row r="75" spans="2:28">
      <c r="P75" s="73"/>
      <c r="Q75" s="73"/>
    </row>
    <row r="76" spans="2:28" s="9" customFormat="1">
      <c r="B76" s="9" t="s">
        <v>525</v>
      </c>
      <c r="G76" s="9">
        <f>IF(G73&lt;G64,G64-G73,0)</f>
        <v>0</v>
      </c>
      <c r="H76" s="9">
        <f>IF(H73&lt;H64,H64-H73,0)</f>
        <v>0</v>
      </c>
      <c r="J76" s="9">
        <f>IF(J73&lt;J64,J64-J73,0)</f>
        <v>0</v>
      </c>
      <c r="K76" s="9">
        <f>IF(K73&lt;K64,K64-K73,0)</f>
        <v>0</v>
      </c>
      <c r="L76" s="9">
        <f>IF(L73&lt;L64,L64-L73,0)</f>
        <v>0</v>
      </c>
      <c r="M76" s="9">
        <f>IF(M73&lt;M64,M64-M73,0)</f>
        <v>0</v>
      </c>
      <c r="O76" s="9">
        <f>IF(O73&lt;O64,O64-O73,0)</f>
        <v>0</v>
      </c>
      <c r="P76" s="9">
        <f>IF(P73&lt;P64,P64-P73,0)</f>
        <v>11460.205833333312</v>
      </c>
      <c r="Q76" s="9">
        <f>IF(Q73&lt;Q64,Q64-Q73,0)</f>
        <v>0</v>
      </c>
      <c r="R76" s="9">
        <f>IF(R73&lt;R64,R64-R73,0)</f>
        <v>0</v>
      </c>
      <c r="T76" s="9">
        <f>IF(T73&lt;T64,T64-T73,0)</f>
        <v>0</v>
      </c>
      <c r="U76" s="9">
        <f>IF(U73&lt;U64,U64-U73,0)</f>
        <v>19879.999999999985</v>
      </c>
      <c r="V76" s="9">
        <f>IF(V73&lt;V64,V64-V73,0)</f>
        <v>0</v>
      </c>
      <c r="W76" s="9">
        <f>IF(W73&lt;W64,W64-W73,0)</f>
        <v>0</v>
      </c>
      <c r="Y76" s="9">
        <f>IF(Y73&lt;Y64,Y64-Y73,0)</f>
        <v>0</v>
      </c>
      <c r="Z76" s="9">
        <f>IF(Z73&lt;Z64,Z64-Z73,0)</f>
        <v>0</v>
      </c>
      <c r="AA76" s="9">
        <f>IF(AA73&lt;AA64,AA64-AA73,0)</f>
        <v>0</v>
      </c>
      <c r="AB76" s="9">
        <f>IF(AB73&lt;AB64,AB64-AB73,0)</f>
        <v>0</v>
      </c>
    </row>
    <row r="77" spans="2:28">
      <c r="B77" t="s">
        <v>522</v>
      </c>
      <c r="D77" s="11">
        <f>D12</f>
        <v>2.0571428571428574</v>
      </c>
      <c r="E77" s="9">
        <f>E76*$D77/$D73</f>
        <v>0</v>
      </c>
      <c r="F77" s="9">
        <f>F76*$D77/$D73</f>
        <v>0</v>
      </c>
      <c r="G77" s="9">
        <f>G76*$D77/$D73</f>
        <v>0</v>
      </c>
      <c r="H77" s="9">
        <f>H76*$D77/$D73</f>
        <v>0</v>
      </c>
      <c r="J77" s="9">
        <f>J76*$D77/$D73</f>
        <v>0</v>
      </c>
      <c r="K77" s="9">
        <f>K76*$D77/$D73</f>
        <v>0</v>
      </c>
      <c r="L77" s="9">
        <f>L76*$D77/$D73</f>
        <v>0</v>
      </c>
      <c r="M77" s="9">
        <f>M76*$D77/$D73</f>
        <v>0</v>
      </c>
      <c r="O77" s="9">
        <f>O76*$D77/$D73</f>
        <v>0</v>
      </c>
      <c r="P77" s="9">
        <f>P76*$D77/$D73</f>
        <v>6548.6890476190356</v>
      </c>
      <c r="Q77" s="9">
        <f>Q76*$D77/$D73</f>
        <v>0</v>
      </c>
      <c r="R77" s="9">
        <f>R76*$D77/$D73</f>
        <v>0</v>
      </c>
      <c r="T77" s="9">
        <f>T76*$D77/$D73</f>
        <v>0</v>
      </c>
      <c r="U77" s="9">
        <f>U76*$D77/$D73</f>
        <v>11359.999999999995</v>
      </c>
      <c r="V77" s="9">
        <f>V76*$D77/$D73</f>
        <v>0</v>
      </c>
      <c r="W77" s="9">
        <f>W76*$D77/$D73</f>
        <v>0</v>
      </c>
      <c r="Y77" s="9">
        <f>Y76*$D77/$D73</f>
        <v>0</v>
      </c>
      <c r="Z77" s="9">
        <f>Z76*$D77/$D73</f>
        <v>0</v>
      </c>
      <c r="AA77" s="9">
        <f>AA76*$D77/$D73</f>
        <v>0</v>
      </c>
      <c r="AB77" s="9">
        <f>AB76*$D77/$D73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1C30-71E6-DC44-8786-71D18A8109E4}">
  <sheetPr>
    <tabColor theme="4" tint="0.79998168889431442"/>
  </sheetPr>
  <dimension ref="A1:AD121"/>
  <sheetViews>
    <sheetView showGridLines="0" zoomScale="65" zoomScaleNormal="100" workbookViewId="0">
      <pane xSplit="4" ySplit="4" topLeftCell="E5" activePane="bottomRight" state="frozen"/>
      <selection activeCell="I5" sqref="I5"/>
      <selection pane="topRight" activeCell="I5" sqref="I5"/>
      <selection pane="bottomLeft" activeCell="I5" sqref="I5"/>
      <selection pane="bottomRight" activeCell="H43" sqref="H43"/>
    </sheetView>
  </sheetViews>
  <sheetFormatPr defaultColWidth="0" defaultRowHeight="14.4" outlineLevelCol="1"/>
  <cols>
    <col min="1" max="1" width="4.109375" style="9" bestFit="1" customWidth="1"/>
    <col min="2" max="2" width="28" style="9" bestFit="1" customWidth="1"/>
    <col min="3" max="3" width="11.33203125" style="9" bestFit="1" customWidth="1"/>
    <col min="4" max="4" width="13.44140625" style="9" bestFit="1" customWidth="1"/>
    <col min="5" max="7" width="15.33203125" style="9" customWidth="1" outlineLevel="1"/>
    <col min="8" max="8" width="15.6640625" style="9" customWidth="1" outlineLevel="1"/>
    <col min="9" max="9" width="16.6640625" style="9" bestFit="1" customWidth="1"/>
    <col min="10" max="11" width="15.33203125" style="9" hidden="1" customWidth="1" outlineLevel="1"/>
    <col min="12" max="12" width="15.6640625" style="9" hidden="1" customWidth="1" outlineLevel="1"/>
    <col min="13" max="13" width="15.33203125" style="9" hidden="1" customWidth="1" outlineLevel="1"/>
    <col min="14" max="14" width="15.33203125" style="9" customWidth="1" collapsed="1"/>
    <col min="15" max="16" width="15.33203125" style="9" hidden="1" customWidth="1" outlineLevel="1"/>
    <col min="17" max="17" width="15.6640625" style="9" hidden="1" customWidth="1" outlineLevel="1"/>
    <col min="18" max="18" width="15.33203125" style="9" hidden="1" customWidth="1" outlineLevel="1"/>
    <col min="19" max="19" width="15.33203125" style="9" customWidth="1" collapsed="1"/>
    <col min="20" max="21" width="15.33203125" style="9" hidden="1" customWidth="1" outlineLevel="1"/>
    <col min="22" max="22" width="15.6640625" style="9" hidden="1" customWidth="1" outlineLevel="1"/>
    <col min="23" max="23" width="15.33203125" style="9" hidden="1" customWidth="1" outlineLevel="1"/>
    <col min="24" max="24" width="15.33203125" style="9" customWidth="1" collapsed="1"/>
    <col min="25" max="26" width="15.33203125" style="9" hidden="1" customWidth="1" outlineLevel="1"/>
    <col min="27" max="27" width="15.6640625" style="9" hidden="1" customWidth="1" outlineLevel="1"/>
    <col min="28" max="28" width="15.33203125" style="9" hidden="1" customWidth="1" outlineLevel="1"/>
    <col min="29" max="29" width="15.33203125" style="9" customWidth="1" collapsed="1"/>
    <col min="30" max="30" width="8.6640625" style="9" customWidth="1"/>
    <col min="31" max="16384" width="8.6640625" style="9" hidden="1"/>
  </cols>
  <sheetData>
    <row r="1" spans="1:29">
      <c r="H1" s="9">
        <f>365*1.33/4</f>
        <v>121.36250000000001</v>
      </c>
    </row>
    <row r="2" spans="1:29">
      <c r="B2" s="80" t="s">
        <v>60</v>
      </c>
      <c r="C2" s="87"/>
      <c r="D2" s="87"/>
      <c r="E2" s="81">
        <f t="shared" ref="E2:AB2" si="0">300/4</f>
        <v>75</v>
      </c>
      <c r="F2" s="81">
        <f t="shared" si="0"/>
        <v>75</v>
      </c>
      <c r="G2" s="81">
        <f t="shared" si="0"/>
        <v>75</v>
      </c>
      <c r="H2" s="81">
        <f t="shared" si="0"/>
        <v>75</v>
      </c>
      <c r="I2" s="108"/>
      <c r="J2" s="81">
        <f t="shared" si="0"/>
        <v>75</v>
      </c>
      <c r="K2" s="81">
        <f t="shared" si="0"/>
        <v>75</v>
      </c>
      <c r="L2" s="81">
        <f t="shared" si="0"/>
        <v>75</v>
      </c>
      <c r="M2" s="81">
        <f t="shared" si="0"/>
        <v>75</v>
      </c>
      <c r="N2" s="81"/>
      <c r="O2" s="81">
        <f t="shared" si="0"/>
        <v>75</v>
      </c>
      <c r="P2" s="81">
        <f t="shared" si="0"/>
        <v>75</v>
      </c>
      <c r="Q2" s="81">
        <f t="shared" si="0"/>
        <v>75</v>
      </c>
      <c r="R2" s="81">
        <f t="shared" si="0"/>
        <v>75</v>
      </c>
      <c r="S2" s="81"/>
      <c r="T2" s="81">
        <f t="shared" si="0"/>
        <v>75</v>
      </c>
      <c r="U2" s="81">
        <f t="shared" si="0"/>
        <v>75</v>
      </c>
      <c r="V2" s="81">
        <f t="shared" si="0"/>
        <v>75</v>
      </c>
      <c r="W2" s="81">
        <f t="shared" si="0"/>
        <v>75</v>
      </c>
      <c r="X2" s="81"/>
      <c r="Y2" s="81">
        <f t="shared" si="0"/>
        <v>75</v>
      </c>
      <c r="Z2" s="81">
        <f t="shared" si="0"/>
        <v>75</v>
      </c>
      <c r="AA2" s="81">
        <f t="shared" si="0"/>
        <v>75</v>
      </c>
      <c r="AB2" s="81">
        <f t="shared" si="0"/>
        <v>75</v>
      </c>
      <c r="AC2" s="81"/>
    </row>
    <row r="3" spans="1:29">
      <c r="B3" s="81" t="s">
        <v>58</v>
      </c>
      <c r="C3" s="87"/>
      <c r="D3" s="87"/>
      <c r="E3" s="81">
        <v>1</v>
      </c>
      <c r="F3" s="81">
        <f t="shared" ref="F3:AB3" si="1">E3+1</f>
        <v>2</v>
      </c>
      <c r="G3" s="81">
        <f t="shared" si="1"/>
        <v>3</v>
      </c>
      <c r="H3" s="81">
        <f t="shared" si="1"/>
        <v>4</v>
      </c>
      <c r="I3" s="108"/>
      <c r="J3" s="81">
        <f>H3+1</f>
        <v>5</v>
      </c>
      <c r="K3" s="81">
        <f t="shared" si="1"/>
        <v>6</v>
      </c>
      <c r="L3" s="81">
        <f t="shared" si="1"/>
        <v>7</v>
      </c>
      <c r="M3" s="81">
        <f t="shared" si="1"/>
        <v>8</v>
      </c>
      <c r="N3" s="81"/>
      <c r="O3" s="81">
        <f>M3+1</f>
        <v>9</v>
      </c>
      <c r="P3" s="81">
        <f t="shared" si="1"/>
        <v>10</v>
      </c>
      <c r="Q3" s="81">
        <f t="shared" si="1"/>
        <v>11</v>
      </c>
      <c r="R3" s="81">
        <f t="shared" si="1"/>
        <v>12</v>
      </c>
      <c r="S3" s="81"/>
      <c r="T3" s="81">
        <f>R3+1</f>
        <v>13</v>
      </c>
      <c r="U3" s="81">
        <f t="shared" si="1"/>
        <v>14</v>
      </c>
      <c r="V3" s="81">
        <f t="shared" si="1"/>
        <v>15</v>
      </c>
      <c r="W3" s="81">
        <f t="shared" si="1"/>
        <v>16</v>
      </c>
      <c r="X3" s="81"/>
      <c r="Y3" s="81">
        <f>W3+1</f>
        <v>17</v>
      </c>
      <c r="Z3" s="81">
        <f t="shared" si="1"/>
        <v>18</v>
      </c>
      <c r="AA3" s="81">
        <f t="shared" si="1"/>
        <v>19</v>
      </c>
      <c r="AB3" s="81">
        <f t="shared" si="1"/>
        <v>20</v>
      </c>
      <c r="AC3" s="81"/>
    </row>
    <row r="4" spans="1:29">
      <c r="B4" s="81" t="s">
        <v>59</v>
      </c>
      <c r="C4" s="87"/>
      <c r="D4" s="87" t="s">
        <v>391</v>
      </c>
      <c r="E4" s="82">
        <v>45838</v>
      </c>
      <c r="F4" s="83">
        <f>EOMONTH(E4,3)</f>
        <v>45930</v>
      </c>
      <c r="G4" s="83">
        <f>EOMONTH(F4,3)</f>
        <v>46022</v>
      </c>
      <c r="H4" s="83">
        <f>EOMONTH(G4,3)</f>
        <v>46112</v>
      </c>
      <c r="I4" s="107" t="s">
        <v>375</v>
      </c>
      <c r="J4" s="83">
        <f>EOMONTH(H4,3)</f>
        <v>46203</v>
      </c>
      <c r="K4" s="83">
        <f>EOMONTH(J4,3)</f>
        <v>46295</v>
      </c>
      <c r="L4" s="83">
        <f>EOMONTH(K4,3)</f>
        <v>46387</v>
      </c>
      <c r="M4" s="83">
        <f>EOMONTH(L4,3)</f>
        <v>46477</v>
      </c>
      <c r="N4" s="107" t="s">
        <v>376</v>
      </c>
      <c r="O4" s="83">
        <f>EOMONTH(M4,3)</f>
        <v>46568</v>
      </c>
      <c r="P4" s="83">
        <f>EOMONTH(O4,3)</f>
        <v>46660</v>
      </c>
      <c r="Q4" s="83">
        <f>EOMONTH(P4,3)</f>
        <v>46752</v>
      </c>
      <c r="R4" s="83">
        <f>EOMONTH(Q4,3)</f>
        <v>46843</v>
      </c>
      <c r="S4" s="107" t="s">
        <v>377</v>
      </c>
      <c r="T4" s="83">
        <f>EOMONTH(R4,3)</f>
        <v>46934</v>
      </c>
      <c r="U4" s="83">
        <f>EOMONTH(T4,3)</f>
        <v>47026</v>
      </c>
      <c r="V4" s="83">
        <f>EOMONTH(U4,3)</f>
        <v>47118</v>
      </c>
      <c r="W4" s="83">
        <f>EOMONTH(V4,3)</f>
        <v>47208</v>
      </c>
      <c r="X4" s="83" t="s">
        <v>378</v>
      </c>
      <c r="Y4" s="83">
        <f>EOMONTH(W4,3)</f>
        <v>47299</v>
      </c>
      <c r="Z4" s="83">
        <f>EOMONTH(Y4,3)</f>
        <v>47391</v>
      </c>
      <c r="AA4" s="83">
        <f>EOMONTH(Z4,3)</f>
        <v>47483</v>
      </c>
      <c r="AB4" s="83">
        <f>EOMONTH(AA4,3)</f>
        <v>47573</v>
      </c>
      <c r="AC4" s="83" t="s">
        <v>379</v>
      </c>
    </row>
    <row r="5" spans="1:29" s="47" customFormat="1" ht="4.95" customHeight="1"/>
    <row r="6" spans="1:29" s="47" customFormat="1">
      <c r="A6" s="100" t="s">
        <v>367</v>
      </c>
      <c r="D6" s="9"/>
    </row>
    <row r="7" spans="1:29">
      <c r="A7" s="102"/>
      <c r="B7" s="48" t="s">
        <v>390</v>
      </c>
      <c r="C7" s="49"/>
      <c r="D7" s="49">
        <v>275000</v>
      </c>
      <c r="E7" s="49">
        <v>4</v>
      </c>
      <c r="F7" s="49">
        <f t="shared" ref="F7:U7" si="2">E7</f>
        <v>4</v>
      </c>
      <c r="G7" s="49">
        <f t="shared" si="2"/>
        <v>4</v>
      </c>
      <c r="H7" s="49">
        <f t="shared" si="2"/>
        <v>4</v>
      </c>
      <c r="I7" s="49">
        <f t="shared" si="2"/>
        <v>4</v>
      </c>
      <c r="J7" s="49">
        <f t="shared" si="2"/>
        <v>4</v>
      </c>
      <c r="K7" s="49">
        <f t="shared" si="2"/>
        <v>4</v>
      </c>
      <c r="L7" s="49">
        <f t="shared" si="2"/>
        <v>4</v>
      </c>
      <c r="M7" s="49">
        <f t="shared" si="2"/>
        <v>4</v>
      </c>
      <c r="N7" s="49">
        <f t="shared" si="2"/>
        <v>4</v>
      </c>
      <c r="O7" s="49">
        <f t="shared" si="2"/>
        <v>4</v>
      </c>
      <c r="P7" s="49">
        <f t="shared" si="2"/>
        <v>4</v>
      </c>
      <c r="Q7" s="49">
        <f t="shared" si="2"/>
        <v>4</v>
      </c>
      <c r="R7" s="49">
        <f t="shared" si="2"/>
        <v>4</v>
      </c>
      <c r="S7" s="49">
        <f t="shared" si="2"/>
        <v>4</v>
      </c>
      <c r="T7" s="49">
        <f t="shared" si="2"/>
        <v>4</v>
      </c>
      <c r="U7" s="49">
        <f t="shared" si="2"/>
        <v>4</v>
      </c>
      <c r="V7" s="49">
        <f t="shared" ref="G7:AC20" si="3">U7</f>
        <v>4</v>
      </c>
      <c r="W7" s="49">
        <f t="shared" si="3"/>
        <v>4</v>
      </c>
      <c r="X7" s="49">
        <f t="shared" si="3"/>
        <v>4</v>
      </c>
      <c r="Y7" s="49">
        <f t="shared" si="3"/>
        <v>4</v>
      </c>
      <c r="Z7" s="49">
        <f t="shared" si="3"/>
        <v>4</v>
      </c>
      <c r="AA7" s="49">
        <f t="shared" si="3"/>
        <v>4</v>
      </c>
      <c r="AB7" s="49">
        <f t="shared" si="3"/>
        <v>4</v>
      </c>
      <c r="AC7" s="49">
        <f t="shared" si="3"/>
        <v>4</v>
      </c>
    </row>
    <row r="8" spans="1:29">
      <c r="B8" s="48" t="s">
        <v>392</v>
      </c>
      <c r="C8" s="49"/>
      <c r="D8" s="49">
        <v>45000</v>
      </c>
      <c r="E8" s="49">
        <v>9</v>
      </c>
      <c r="F8" s="49">
        <f>E8</f>
        <v>9</v>
      </c>
      <c r="G8" s="49">
        <f t="shared" si="3"/>
        <v>9</v>
      </c>
      <c r="H8" s="49">
        <f t="shared" si="3"/>
        <v>9</v>
      </c>
      <c r="I8" s="49">
        <f t="shared" si="3"/>
        <v>9</v>
      </c>
      <c r="J8" s="49">
        <f t="shared" si="3"/>
        <v>9</v>
      </c>
      <c r="K8" s="49">
        <f t="shared" si="3"/>
        <v>9</v>
      </c>
      <c r="L8" s="49">
        <f t="shared" si="3"/>
        <v>9</v>
      </c>
      <c r="M8" s="49">
        <f t="shared" si="3"/>
        <v>9</v>
      </c>
      <c r="N8" s="49">
        <f t="shared" si="3"/>
        <v>9</v>
      </c>
      <c r="O8" s="49">
        <f t="shared" si="3"/>
        <v>9</v>
      </c>
      <c r="P8" s="49">
        <f t="shared" si="3"/>
        <v>9</v>
      </c>
      <c r="Q8" s="49">
        <f t="shared" si="3"/>
        <v>9</v>
      </c>
      <c r="R8" s="49">
        <f t="shared" si="3"/>
        <v>9</v>
      </c>
      <c r="S8" s="49">
        <f t="shared" si="3"/>
        <v>9</v>
      </c>
      <c r="T8" s="49">
        <f t="shared" si="3"/>
        <v>9</v>
      </c>
      <c r="U8" s="49">
        <f t="shared" si="3"/>
        <v>9</v>
      </c>
      <c r="V8" s="49">
        <f t="shared" si="3"/>
        <v>9</v>
      </c>
      <c r="W8" s="49">
        <f t="shared" si="3"/>
        <v>9</v>
      </c>
      <c r="X8" s="49">
        <f t="shared" si="3"/>
        <v>9</v>
      </c>
      <c r="Y8" s="49">
        <f t="shared" si="3"/>
        <v>9</v>
      </c>
      <c r="Z8" s="49">
        <f t="shared" si="3"/>
        <v>9</v>
      </c>
      <c r="AA8" s="49">
        <f t="shared" si="3"/>
        <v>9</v>
      </c>
      <c r="AB8" s="49">
        <f t="shared" si="3"/>
        <v>9</v>
      </c>
      <c r="AC8" s="49">
        <f t="shared" si="3"/>
        <v>9</v>
      </c>
    </row>
    <row r="9" spans="1:29">
      <c r="B9" s="48" t="s">
        <v>393</v>
      </c>
      <c r="C9" s="49"/>
      <c r="D9" s="49">
        <v>25000</v>
      </c>
      <c r="E9" s="49">
        <v>9</v>
      </c>
      <c r="F9" s="49">
        <f>E9</f>
        <v>9</v>
      </c>
      <c r="G9" s="49">
        <f t="shared" si="3"/>
        <v>9</v>
      </c>
      <c r="H9" s="49">
        <f t="shared" si="3"/>
        <v>9</v>
      </c>
      <c r="I9" s="49">
        <f t="shared" si="3"/>
        <v>9</v>
      </c>
      <c r="J9" s="49">
        <f t="shared" si="3"/>
        <v>9</v>
      </c>
      <c r="K9" s="49">
        <f t="shared" si="3"/>
        <v>9</v>
      </c>
      <c r="L9" s="49">
        <f t="shared" si="3"/>
        <v>9</v>
      </c>
      <c r="M9" s="49">
        <f t="shared" si="3"/>
        <v>9</v>
      </c>
      <c r="N9" s="49">
        <f t="shared" si="3"/>
        <v>9</v>
      </c>
      <c r="O9" s="49">
        <f t="shared" si="3"/>
        <v>9</v>
      </c>
      <c r="P9" s="49">
        <f t="shared" si="3"/>
        <v>9</v>
      </c>
      <c r="Q9" s="49">
        <f t="shared" si="3"/>
        <v>9</v>
      </c>
      <c r="R9" s="49">
        <f t="shared" si="3"/>
        <v>9</v>
      </c>
      <c r="S9" s="49">
        <f t="shared" si="3"/>
        <v>9</v>
      </c>
      <c r="T9" s="49">
        <f t="shared" si="3"/>
        <v>9</v>
      </c>
      <c r="U9" s="49">
        <f t="shared" si="3"/>
        <v>9</v>
      </c>
      <c r="V9" s="49">
        <f t="shared" si="3"/>
        <v>9</v>
      </c>
      <c r="W9" s="49">
        <f t="shared" si="3"/>
        <v>9</v>
      </c>
      <c r="X9" s="49">
        <f t="shared" si="3"/>
        <v>9</v>
      </c>
      <c r="Y9" s="49">
        <f t="shared" si="3"/>
        <v>9</v>
      </c>
      <c r="Z9" s="49">
        <f t="shared" si="3"/>
        <v>9</v>
      </c>
      <c r="AA9" s="49">
        <f t="shared" si="3"/>
        <v>9</v>
      </c>
      <c r="AB9" s="49">
        <f t="shared" si="3"/>
        <v>9</v>
      </c>
      <c r="AC9" s="49">
        <f t="shared" si="3"/>
        <v>9</v>
      </c>
    </row>
    <row r="10" spans="1:29">
      <c r="B10" s="48" t="s">
        <v>403</v>
      </c>
      <c r="C10" s="49"/>
      <c r="D10" s="49">
        <v>20200</v>
      </c>
      <c r="E10" s="49">
        <v>23</v>
      </c>
      <c r="F10" s="49">
        <f>E10</f>
        <v>23</v>
      </c>
      <c r="G10" s="49">
        <f t="shared" si="3"/>
        <v>23</v>
      </c>
      <c r="H10" s="49">
        <f t="shared" si="3"/>
        <v>23</v>
      </c>
      <c r="I10" s="49">
        <f t="shared" si="3"/>
        <v>23</v>
      </c>
      <c r="J10" s="49">
        <f t="shared" si="3"/>
        <v>23</v>
      </c>
      <c r="K10" s="49">
        <f t="shared" si="3"/>
        <v>23</v>
      </c>
      <c r="L10" s="49">
        <f t="shared" si="3"/>
        <v>23</v>
      </c>
      <c r="M10" s="49">
        <f t="shared" si="3"/>
        <v>23</v>
      </c>
      <c r="N10" s="49">
        <f t="shared" si="3"/>
        <v>23</v>
      </c>
      <c r="O10" s="49">
        <f t="shared" si="3"/>
        <v>23</v>
      </c>
      <c r="P10" s="49">
        <f t="shared" si="3"/>
        <v>23</v>
      </c>
      <c r="Q10" s="49">
        <f t="shared" si="3"/>
        <v>23</v>
      </c>
      <c r="R10" s="49">
        <f t="shared" si="3"/>
        <v>23</v>
      </c>
      <c r="S10" s="49">
        <f t="shared" si="3"/>
        <v>23</v>
      </c>
      <c r="T10" s="49">
        <f t="shared" si="3"/>
        <v>23</v>
      </c>
      <c r="U10" s="49">
        <f t="shared" si="3"/>
        <v>23</v>
      </c>
      <c r="V10" s="49">
        <f t="shared" si="3"/>
        <v>23</v>
      </c>
      <c r="W10" s="49">
        <f t="shared" si="3"/>
        <v>23</v>
      </c>
      <c r="X10" s="49">
        <f t="shared" si="3"/>
        <v>23</v>
      </c>
      <c r="Y10" s="49">
        <f t="shared" si="3"/>
        <v>23</v>
      </c>
      <c r="Z10" s="49">
        <f t="shared" si="3"/>
        <v>23</v>
      </c>
      <c r="AA10" s="49">
        <f t="shared" si="3"/>
        <v>23</v>
      </c>
      <c r="AB10" s="49">
        <f t="shared" si="3"/>
        <v>23</v>
      </c>
      <c r="AC10" s="49">
        <f t="shared" si="3"/>
        <v>23</v>
      </c>
    </row>
    <row r="11" spans="1:29"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>
      <c r="B12" s="48" t="s">
        <v>288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>
      <c r="B13" s="99" t="s">
        <v>394</v>
      </c>
      <c r="C13" s="49"/>
      <c r="D13" s="49">
        <v>20000</v>
      </c>
      <c r="E13" s="49">
        <v>9</v>
      </c>
      <c r="F13" s="49">
        <f t="shared" ref="F13:F20" si="4">E13</f>
        <v>9</v>
      </c>
      <c r="G13" s="49">
        <f t="shared" si="3"/>
        <v>9</v>
      </c>
      <c r="H13" s="49">
        <f t="shared" si="3"/>
        <v>9</v>
      </c>
      <c r="I13" s="49">
        <f t="shared" si="3"/>
        <v>9</v>
      </c>
      <c r="J13" s="49">
        <f t="shared" si="3"/>
        <v>9</v>
      </c>
      <c r="K13" s="49">
        <f t="shared" si="3"/>
        <v>9</v>
      </c>
      <c r="L13" s="49">
        <f t="shared" si="3"/>
        <v>9</v>
      </c>
      <c r="M13" s="49">
        <f t="shared" si="3"/>
        <v>9</v>
      </c>
      <c r="N13" s="49">
        <f t="shared" si="3"/>
        <v>9</v>
      </c>
      <c r="O13" s="49">
        <f t="shared" si="3"/>
        <v>9</v>
      </c>
      <c r="P13" s="49">
        <f t="shared" si="3"/>
        <v>9</v>
      </c>
      <c r="Q13" s="49">
        <f t="shared" si="3"/>
        <v>9</v>
      </c>
      <c r="R13" s="49">
        <f t="shared" si="3"/>
        <v>9</v>
      </c>
      <c r="S13" s="49">
        <f t="shared" si="3"/>
        <v>9</v>
      </c>
      <c r="T13" s="49">
        <f t="shared" si="3"/>
        <v>9</v>
      </c>
      <c r="U13" s="49">
        <f t="shared" si="3"/>
        <v>9</v>
      </c>
      <c r="V13" s="49">
        <f t="shared" si="3"/>
        <v>9</v>
      </c>
      <c r="W13" s="49">
        <f t="shared" si="3"/>
        <v>9</v>
      </c>
      <c r="X13" s="49">
        <f t="shared" si="3"/>
        <v>9</v>
      </c>
      <c r="Y13" s="49">
        <f t="shared" si="3"/>
        <v>9</v>
      </c>
      <c r="Z13" s="49">
        <f t="shared" si="3"/>
        <v>9</v>
      </c>
      <c r="AA13" s="49">
        <f t="shared" si="3"/>
        <v>9</v>
      </c>
      <c r="AB13" s="49">
        <f t="shared" si="3"/>
        <v>9</v>
      </c>
      <c r="AC13" s="49">
        <f t="shared" si="3"/>
        <v>9</v>
      </c>
    </row>
    <row r="14" spans="1:29">
      <c r="B14" s="99" t="s">
        <v>395</v>
      </c>
      <c r="C14" s="49"/>
      <c r="D14" s="49">
        <v>35000</v>
      </c>
      <c r="E14" s="49">
        <v>5</v>
      </c>
      <c r="F14" s="49">
        <f t="shared" si="4"/>
        <v>5</v>
      </c>
      <c r="G14" s="49">
        <f t="shared" si="3"/>
        <v>5</v>
      </c>
      <c r="H14" s="49">
        <f t="shared" si="3"/>
        <v>5</v>
      </c>
      <c r="I14" s="49">
        <f t="shared" si="3"/>
        <v>5</v>
      </c>
      <c r="J14" s="49">
        <f t="shared" si="3"/>
        <v>5</v>
      </c>
      <c r="K14" s="49">
        <f t="shared" si="3"/>
        <v>5</v>
      </c>
      <c r="L14" s="49">
        <f t="shared" si="3"/>
        <v>5</v>
      </c>
      <c r="M14" s="49">
        <f t="shared" si="3"/>
        <v>5</v>
      </c>
      <c r="N14" s="49">
        <f t="shared" si="3"/>
        <v>5</v>
      </c>
      <c r="O14" s="49">
        <f t="shared" si="3"/>
        <v>5</v>
      </c>
      <c r="P14" s="49">
        <f t="shared" si="3"/>
        <v>5</v>
      </c>
      <c r="Q14" s="49">
        <f t="shared" si="3"/>
        <v>5</v>
      </c>
      <c r="R14" s="49">
        <f t="shared" si="3"/>
        <v>5</v>
      </c>
      <c r="S14" s="49">
        <f t="shared" si="3"/>
        <v>5</v>
      </c>
      <c r="T14" s="49">
        <f t="shared" si="3"/>
        <v>5</v>
      </c>
      <c r="U14" s="49">
        <f t="shared" si="3"/>
        <v>5</v>
      </c>
      <c r="V14" s="49">
        <f t="shared" si="3"/>
        <v>5</v>
      </c>
      <c r="W14" s="49">
        <f t="shared" si="3"/>
        <v>5</v>
      </c>
      <c r="X14" s="49">
        <f t="shared" si="3"/>
        <v>5</v>
      </c>
      <c r="Y14" s="49">
        <f t="shared" si="3"/>
        <v>5</v>
      </c>
      <c r="Z14" s="49">
        <f t="shared" si="3"/>
        <v>5</v>
      </c>
      <c r="AA14" s="49">
        <f t="shared" si="3"/>
        <v>5</v>
      </c>
      <c r="AB14" s="49">
        <f t="shared" si="3"/>
        <v>5</v>
      </c>
      <c r="AC14" s="49">
        <f t="shared" si="3"/>
        <v>5</v>
      </c>
    </row>
    <row r="15" spans="1:29" s="50" customFormat="1">
      <c r="B15" s="99" t="s">
        <v>396</v>
      </c>
      <c r="C15" s="99"/>
      <c r="D15" s="99">
        <v>20000</v>
      </c>
      <c r="E15" s="99">
        <v>32</v>
      </c>
      <c r="F15" s="99">
        <f t="shared" si="4"/>
        <v>32</v>
      </c>
      <c r="G15" s="99">
        <f t="shared" si="3"/>
        <v>32</v>
      </c>
      <c r="H15" s="99">
        <f t="shared" si="3"/>
        <v>32</v>
      </c>
      <c r="I15" s="99">
        <f t="shared" si="3"/>
        <v>32</v>
      </c>
      <c r="J15" s="99">
        <f t="shared" si="3"/>
        <v>32</v>
      </c>
      <c r="K15" s="99">
        <f t="shared" si="3"/>
        <v>32</v>
      </c>
      <c r="L15" s="99">
        <f t="shared" si="3"/>
        <v>32</v>
      </c>
      <c r="M15" s="99">
        <f t="shared" si="3"/>
        <v>32</v>
      </c>
      <c r="N15" s="99">
        <f t="shared" si="3"/>
        <v>32</v>
      </c>
      <c r="O15" s="99">
        <f t="shared" si="3"/>
        <v>32</v>
      </c>
      <c r="P15" s="99">
        <f t="shared" si="3"/>
        <v>32</v>
      </c>
      <c r="Q15" s="99">
        <f t="shared" si="3"/>
        <v>32</v>
      </c>
      <c r="R15" s="99">
        <f t="shared" si="3"/>
        <v>32</v>
      </c>
      <c r="S15" s="99">
        <f t="shared" si="3"/>
        <v>32</v>
      </c>
      <c r="T15" s="99">
        <f t="shared" si="3"/>
        <v>32</v>
      </c>
      <c r="U15" s="99">
        <f t="shared" si="3"/>
        <v>32</v>
      </c>
      <c r="V15" s="99">
        <f t="shared" si="3"/>
        <v>32</v>
      </c>
      <c r="W15" s="99">
        <f t="shared" si="3"/>
        <v>32</v>
      </c>
      <c r="X15" s="99">
        <f t="shared" si="3"/>
        <v>32</v>
      </c>
      <c r="Y15" s="99">
        <f t="shared" si="3"/>
        <v>32</v>
      </c>
      <c r="Z15" s="99">
        <f t="shared" si="3"/>
        <v>32</v>
      </c>
      <c r="AA15" s="99">
        <f t="shared" si="3"/>
        <v>32</v>
      </c>
      <c r="AB15" s="99">
        <f t="shared" si="3"/>
        <v>32</v>
      </c>
      <c r="AC15" s="99">
        <f t="shared" si="3"/>
        <v>32</v>
      </c>
    </row>
    <row r="16" spans="1:29">
      <c r="B16" s="99" t="s">
        <v>397</v>
      </c>
      <c r="C16" s="49"/>
      <c r="D16" s="49">
        <v>15000</v>
      </c>
      <c r="E16" s="49">
        <v>2</v>
      </c>
      <c r="F16" s="49">
        <f t="shared" si="4"/>
        <v>2</v>
      </c>
      <c r="G16" s="49">
        <f t="shared" si="3"/>
        <v>2</v>
      </c>
      <c r="H16" s="49">
        <f t="shared" si="3"/>
        <v>2</v>
      </c>
      <c r="I16" s="49">
        <f t="shared" si="3"/>
        <v>2</v>
      </c>
      <c r="J16" s="49">
        <f t="shared" si="3"/>
        <v>2</v>
      </c>
      <c r="K16" s="49">
        <f t="shared" si="3"/>
        <v>2</v>
      </c>
      <c r="L16" s="49">
        <f t="shared" si="3"/>
        <v>2</v>
      </c>
      <c r="M16" s="49">
        <f t="shared" si="3"/>
        <v>2</v>
      </c>
      <c r="N16" s="49">
        <f t="shared" si="3"/>
        <v>2</v>
      </c>
      <c r="O16" s="49">
        <f t="shared" si="3"/>
        <v>2</v>
      </c>
      <c r="P16" s="49">
        <f t="shared" si="3"/>
        <v>2</v>
      </c>
      <c r="Q16" s="49">
        <f t="shared" si="3"/>
        <v>2</v>
      </c>
      <c r="R16" s="49">
        <f t="shared" si="3"/>
        <v>2</v>
      </c>
      <c r="S16" s="49">
        <f t="shared" si="3"/>
        <v>2</v>
      </c>
      <c r="T16" s="49">
        <f t="shared" si="3"/>
        <v>2</v>
      </c>
      <c r="U16" s="49">
        <f t="shared" si="3"/>
        <v>2</v>
      </c>
      <c r="V16" s="49">
        <f t="shared" si="3"/>
        <v>2</v>
      </c>
      <c r="W16" s="49">
        <f t="shared" si="3"/>
        <v>2</v>
      </c>
      <c r="X16" s="49">
        <f t="shared" si="3"/>
        <v>2</v>
      </c>
      <c r="Y16" s="49">
        <f t="shared" si="3"/>
        <v>2</v>
      </c>
      <c r="Z16" s="49">
        <f t="shared" si="3"/>
        <v>2</v>
      </c>
      <c r="AA16" s="49">
        <f t="shared" si="3"/>
        <v>2</v>
      </c>
      <c r="AB16" s="49">
        <f t="shared" si="3"/>
        <v>2</v>
      </c>
      <c r="AC16" s="49">
        <f t="shared" si="3"/>
        <v>2</v>
      </c>
    </row>
    <row r="17" spans="2:29">
      <c r="B17" s="99" t="s">
        <v>398</v>
      </c>
      <c r="C17" s="49"/>
      <c r="D17" s="49">
        <v>16400</v>
      </c>
      <c r="E17" s="49">
        <v>4</v>
      </c>
      <c r="F17" s="49">
        <f t="shared" si="4"/>
        <v>4</v>
      </c>
      <c r="G17" s="49">
        <f t="shared" si="3"/>
        <v>4</v>
      </c>
      <c r="H17" s="49">
        <f t="shared" si="3"/>
        <v>4</v>
      </c>
      <c r="I17" s="49">
        <f t="shared" si="3"/>
        <v>4</v>
      </c>
      <c r="J17" s="49">
        <f t="shared" si="3"/>
        <v>4</v>
      </c>
      <c r="K17" s="49">
        <f t="shared" si="3"/>
        <v>4</v>
      </c>
      <c r="L17" s="49">
        <f t="shared" si="3"/>
        <v>4</v>
      </c>
      <c r="M17" s="49">
        <f t="shared" si="3"/>
        <v>4</v>
      </c>
      <c r="N17" s="49">
        <f t="shared" si="3"/>
        <v>4</v>
      </c>
      <c r="O17" s="49">
        <f t="shared" si="3"/>
        <v>4</v>
      </c>
      <c r="P17" s="49">
        <f t="shared" si="3"/>
        <v>4</v>
      </c>
      <c r="Q17" s="49">
        <f t="shared" si="3"/>
        <v>4</v>
      </c>
      <c r="R17" s="49">
        <f t="shared" si="3"/>
        <v>4</v>
      </c>
      <c r="S17" s="49">
        <f t="shared" si="3"/>
        <v>4</v>
      </c>
      <c r="T17" s="49">
        <f t="shared" si="3"/>
        <v>4</v>
      </c>
      <c r="U17" s="49">
        <f t="shared" si="3"/>
        <v>4</v>
      </c>
      <c r="V17" s="49">
        <f t="shared" si="3"/>
        <v>4</v>
      </c>
      <c r="W17" s="49">
        <f t="shared" si="3"/>
        <v>4</v>
      </c>
      <c r="X17" s="49">
        <f t="shared" si="3"/>
        <v>4</v>
      </c>
      <c r="Y17" s="49">
        <f t="shared" si="3"/>
        <v>4</v>
      </c>
      <c r="Z17" s="49">
        <f t="shared" si="3"/>
        <v>4</v>
      </c>
      <c r="AA17" s="49">
        <f t="shared" si="3"/>
        <v>4</v>
      </c>
      <c r="AB17" s="49">
        <f t="shared" si="3"/>
        <v>4</v>
      </c>
      <c r="AC17" s="49">
        <f t="shared" si="3"/>
        <v>4</v>
      </c>
    </row>
    <row r="18" spans="2:29">
      <c r="B18" s="99" t="s">
        <v>399</v>
      </c>
      <c r="C18" s="49"/>
      <c r="D18" s="49">
        <v>22000</v>
      </c>
      <c r="E18" s="49">
        <v>4</v>
      </c>
      <c r="F18" s="49">
        <f t="shared" si="4"/>
        <v>4</v>
      </c>
      <c r="G18" s="49">
        <f t="shared" si="3"/>
        <v>4</v>
      </c>
      <c r="H18" s="49">
        <f t="shared" si="3"/>
        <v>4</v>
      </c>
      <c r="I18" s="49">
        <f t="shared" si="3"/>
        <v>4</v>
      </c>
      <c r="J18" s="49">
        <f t="shared" si="3"/>
        <v>4</v>
      </c>
      <c r="K18" s="49">
        <f t="shared" si="3"/>
        <v>4</v>
      </c>
      <c r="L18" s="49">
        <f t="shared" si="3"/>
        <v>4</v>
      </c>
      <c r="M18" s="49">
        <f t="shared" si="3"/>
        <v>4</v>
      </c>
      <c r="N18" s="49">
        <f t="shared" si="3"/>
        <v>4</v>
      </c>
      <c r="O18" s="49">
        <f t="shared" si="3"/>
        <v>4</v>
      </c>
      <c r="P18" s="49">
        <f t="shared" si="3"/>
        <v>4</v>
      </c>
      <c r="Q18" s="49">
        <f t="shared" si="3"/>
        <v>4</v>
      </c>
      <c r="R18" s="49">
        <f t="shared" si="3"/>
        <v>4</v>
      </c>
      <c r="S18" s="49">
        <f t="shared" si="3"/>
        <v>4</v>
      </c>
      <c r="T18" s="49">
        <f t="shared" si="3"/>
        <v>4</v>
      </c>
      <c r="U18" s="49">
        <f t="shared" si="3"/>
        <v>4</v>
      </c>
      <c r="V18" s="49">
        <f t="shared" si="3"/>
        <v>4</v>
      </c>
      <c r="W18" s="49">
        <f t="shared" si="3"/>
        <v>4</v>
      </c>
      <c r="X18" s="49">
        <f t="shared" si="3"/>
        <v>4</v>
      </c>
      <c r="Y18" s="49">
        <f t="shared" si="3"/>
        <v>4</v>
      </c>
      <c r="Z18" s="49">
        <f t="shared" si="3"/>
        <v>4</v>
      </c>
      <c r="AA18" s="49">
        <f t="shared" si="3"/>
        <v>4</v>
      </c>
      <c r="AB18" s="49">
        <f t="shared" si="3"/>
        <v>4</v>
      </c>
      <c r="AC18" s="49">
        <f t="shared" si="3"/>
        <v>4</v>
      </c>
    </row>
    <row r="19" spans="2:29">
      <c r="B19" s="99" t="s">
        <v>351</v>
      </c>
      <c r="C19" s="49"/>
      <c r="D19" s="49">
        <v>25000</v>
      </c>
      <c r="E19" s="49">
        <v>4</v>
      </c>
      <c r="F19" s="49">
        <f t="shared" si="4"/>
        <v>4</v>
      </c>
      <c r="G19" s="49">
        <f t="shared" si="3"/>
        <v>4</v>
      </c>
      <c r="H19" s="49">
        <f t="shared" si="3"/>
        <v>4</v>
      </c>
      <c r="I19" s="49">
        <f t="shared" si="3"/>
        <v>4</v>
      </c>
      <c r="J19" s="49">
        <f t="shared" si="3"/>
        <v>4</v>
      </c>
      <c r="K19" s="49">
        <f t="shared" si="3"/>
        <v>4</v>
      </c>
      <c r="L19" s="49">
        <f t="shared" si="3"/>
        <v>4</v>
      </c>
      <c r="M19" s="49">
        <f t="shared" si="3"/>
        <v>4</v>
      </c>
      <c r="N19" s="49">
        <f t="shared" si="3"/>
        <v>4</v>
      </c>
      <c r="O19" s="49">
        <f t="shared" si="3"/>
        <v>4</v>
      </c>
      <c r="P19" s="49">
        <f t="shared" si="3"/>
        <v>4</v>
      </c>
      <c r="Q19" s="49">
        <f t="shared" si="3"/>
        <v>4</v>
      </c>
      <c r="R19" s="49">
        <f t="shared" si="3"/>
        <v>4</v>
      </c>
      <c r="S19" s="49">
        <f t="shared" si="3"/>
        <v>4</v>
      </c>
      <c r="T19" s="49">
        <f t="shared" si="3"/>
        <v>4</v>
      </c>
      <c r="U19" s="49">
        <f t="shared" si="3"/>
        <v>4</v>
      </c>
      <c r="V19" s="49">
        <f t="shared" si="3"/>
        <v>4</v>
      </c>
      <c r="W19" s="49">
        <f t="shared" si="3"/>
        <v>4</v>
      </c>
      <c r="X19" s="49">
        <f t="shared" si="3"/>
        <v>4</v>
      </c>
      <c r="Y19" s="49">
        <f t="shared" si="3"/>
        <v>4</v>
      </c>
      <c r="Z19" s="49">
        <f t="shared" si="3"/>
        <v>4</v>
      </c>
      <c r="AA19" s="49">
        <f t="shared" si="3"/>
        <v>4</v>
      </c>
      <c r="AB19" s="49">
        <f t="shared" si="3"/>
        <v>4</v>
      </c>
      <c r="AC19" s="49">
        <f t="shared" si="3"/>
        <v>4</v>
      </c>
    </row>
    <row r="20" spans="2:29">
      <c r="B20" s="99" t="s">
        <v>402</v>
      </c>
      <c r="C20" s="49"/>
      <c r="D20" s="49">
        <v>15000</v>
      </c>
      <c r="E20" s="49">
        <v>11</v>
      </c>
      <c r="F20" s="49">
        <f t="shared" si="4"/>
        <v>11</v>
      </c>
      <c r="G20" s="49">
        <f t="shared" si="3"/>
        <v>11</v>
      </c>
      <c r="H20" s="49">
        <f t="shared" si="3"/>
        <v>11</v>
      </c>
      <c r="I20" s="49">
        <f t="shared" si="3"/>
        <v>11</v>
      </c>
      <c r="J20" s="49">
        <f t="shared" si="3"/>
        <v>11</v>
      </c>
      <c r="K20" s="49">
        <f t="shared" si="3"/>
        <v>11</v>
      </c>
      <c r="L20" s="49">
        <f t="shared" si="3"/>
        <v>11</v>
      </c>
      <c r="M20" s="49">
        <f t="shared" si="3"/>
        <v>11</v>
      </c>
      <c r="N20" s="49">
        <f t="shared" si="3"/>
        <v>11</v>
      </c>
      <c r="O20" s="49">
        <f t="shared" si="3"/>
        <v>11</v>
      </c>
      <c r="P20" s="49">
        <f t="shared" si="3"/>
        <v>11</v>
      </c>
      <c r="Q20" s="49">
        <f t="shared" si="3"/>
        <v>11</v>
      </c>
      <c r="R20" s="49">
        <f t="shared" si="3"/>
        <v>11</v>
      </c>
      <c r="S20" s="49">
        <f t="shared" si="3"/>
        <v>11</v>
      </c>
      <c r="T20" s="49">
        <f t="shared" si="3"/>
        <v>11</v>
      </c>
      <c r="U20" s="49">
        <f t="shared" si="3"/>
        <v>11</v>
      </c>
      <c r="V20" s="49">
        <f t="shared" si="3"/>
        <v>11</v>
      </c>
      <c r="W20" s="49">
        <f t="shared" si="3"/>
        <v>11</v>
      </c>
      <c r="X20" s="49">
        <f t="shared" ref="X20:AC20" si="5">W20</f>
        <v>11</v>
      </c>
      <c r="Y20" s="49">
        <f t="shared" si="5"/>
        <v>11</v>
      </c>
      <c r="Z20" s="49">
        <f t="shared" si="5"/>
        <v>11</v>
      </c>
      <c r="AA20" s="49">
        <f t="shared" si="5"/>
        <v>11</v>
      </c>
      <c r="AB20" s="49">
        <f t="shared" si="5"/>
        <v>11</v>
      </c>
      <c r="AC20" s="49">
        <f t="shared" si="5"/>
        <v>11</v>
      </c>
    </row>
    <row r="21" spans="2:29">
      <c r="B21" s="9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2:29">
      <c r="B22" s="48" t="s">
        <v>343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2:29">
      <c r="B23" s="99" t="s">
        <v>400</v>
      </c>
      <c r="C23" s="49"/>
      <c r="D23" s="49">
        <v>25000</v>
      </c>
      <c r="E23" s="49">
        <v>43</v>
      </c>
      <c r="F23" s="49">
        <f>E23</f>
        <v>43</v>
      </c>
      <c r="G23" s="49">
        <v>55</v>
      </c>
      <c r="H23" s="49">
        <v>60</v>
      </c>
      <c r="I23" s="49">
        <f t="shared" ref="I23:AC23" si="6">H23</f>
        <v>60</v>
      </c>
      <c r="J23" s="49">
        <f t="shared" si="6"/>
        <v>60</v>
      </c>
      <c r="K23" s="49">
        <f t="shared" si="6"/>
        <v>60</v>
      </c>
      <c r="L23" s="49">
        <f t="shared" si="6"/>
        <v>60</v>
      </c>
      <c r="M23" s="49">
        <f t="shared" si="6"/>
        <v>60</v>
      </c>
      <c r="N23" s="49">
        <f t="shared" si="6"/>
        <v>60</v>
      </c>
      <c r="O23" s="49">
        <f t="shared" si="6"/>
        <v>60</v>
      </c>
      <c r="P23" s="49">
        <f t="shared" si="6"/>
        <v>60</v>
      </c>
      <c r="Q23" s="49">
        <f t="shared" si="6"/>
        <v>60</v>
      </c>
      <c r="R23" s="49">
        <f t="shared" si="6"/>
        <v>60</v>
      </c>
      <c r="S23" s="49">
        <f t="shared" si="6"/>
        <v>60</v>
      </c>
      <c r="T23" s="49">
        <f t="shared" si="6"/>
        <v>60</v>
      </c>
      <c r="U23" s="49">
        <f t="shared" si="6"/>
        <v>60</v>
      </c>
      <c r="V23" s="49">
        <f t="shared" si="6"/>
        <v>60</v>
      </c>
      <c r="W23" s="49">
        <f t="shared" si="6"/>
        <v>60</v>
      </c>
      <c r="X23" s="49">
        <f t="shared" si="6"/>
        <v>60</v>
      </c>
      <c r="Y23" s="49">
        <f t="shared" si="6"/>
        <v>60</v>
      </c>
      <c r="Z23" s="49">
        <f t="shared" si="6"/>
        <v>60</v>
      </c>
      <c r="AA23" s="49">
        <f t="shared" si="6"/>
        <v>60</v>
      </c>
      <c r="AB23" s="49">
        <f t="shared" si="6"/>
        <v>60</v>
      </c>
      <c r="AC23" s="49">
        <f t="shared" si="6"/>
        <v>60</v>
      </c>
    </row>
    <row r="24" spans="2:29">
      <c r="B24" s="99" t="s">
        <v>401</v>
      </c>
      <c r="C24" s="49"/>
      <c r="D24" s="49">
        <v>26000</v>
      </c>
      <c r="E24" s="49">
        <v>2</v>
      </c>
      <c r="F24" s="49">
        <f>E24</f>
        <v>2</v>
      </c>
      <c r="G24" s="49">
        <f>F24</f>
        <v>2</v>
      </c>
      <c r="H24" s="49">
        <f>G24</f>
        <v>2</v>
      </c>
      <c r="I24" s="49">
        <f t="shared" ref="I24:AC24" si="7">H24</f>
        <v>2</v>
      </c>
      <c r="J24" s="49">
        <f t="shared" si="7"/>
        <v>2</v>
      </c>
      <c r="K24" s="49">
        <f t="shared" si="7"/>
        <v>2</v>
      </c>
      <c r="L24" s="49">
        <f t="shared" si="7"/>
        <v>2</v>
      </c>
      <c r="M24" s="49">
        <f t="shared" si="7"/>
        <v>2</v>
      </c>
      <c r="N24" s="49">
        <f t="shared" si="7"/>
        <v>2</v>
      </c>
      <c r="O24" s="49">
        <f t="shared" si="7"/>
        <v>2</v>
      </c>
      <c r="P24" s="49">
        <f t="shared" si="7"/>
        <v>2</v>
      </c>
      <c r="Q24" s="49">
        <f t="shared" si="7"/>
        <v>2</v>
      </c>
      <c r="R24" s="49">
        <f t="shared" si="7"/>
        <v>2</v>
      </c>
      <c r="S24" s="49">
        <f t="shared" si="7"/>
        <v>2</v>
      </c>
      <c r="T24" s="49">
        <f t="shared" si="7"/>
        <v>2</v>
      </c>
      <c r="U24" s="49">
        <f t="shared" si="7"/>
        <v>2</v>
      </c>
      <c r="V24" s="49">
        <f t="shared" si="7"/>
        <v>2</v>
      </c>
      <c r="W24" s="49">
        <f t="shared" si="7"/>
        <v>2</v>
      </c>
      <c r="X24" s="49">
        <f t="shared" si="7"/>
        <v>2</v>
      </c>
      <c r="Y24" s="49">
        <f t="shared" si="7"/>
        <v>2</v>
      </c>
      <c r="Z24" s="49">
        <f t="shared" si="7"/>
        <v>2</v>
      </c>
      <c r="AA24" s="49">
        <f t="shared" si="7"/>
        <v>2</v>
      </c>
      <c r="AB24" s="49">
        <f t="shared" si="7"/>
        <v>2</v>
      </c>
      <c r="AC24" s="49">
        <f t="shared" si="7"/>
        <v>2</v>
      </c>
    </row>
    <row r="25" spans="2:29"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2:29">
      <c r="B26" s="99" t="s">
        <v>515</v>
      </c>
      <c r="C26" s="49"/>
      <c r="D26" s="105">
        <v>2.5000000000000001E-2</v>
      </c>
      <c r="E26" s="105">
        <f>1*(1+$D26)</f>
        <v>1.0249999999999999</v>
      </c>
      <c r="F26" s="105">
        <f>E26*(1+$D26)</f>
        <v>1.0506249999999999</v>
      </c>
      <c r="G26" s="105">
        <f>F26*(1+$D26)</f>
        <v>1.0768906249999999</v>
      </c>
      <c r="H26" s="105">
        <f>G26*(1+$D26)</f>
        <v>1.1038128906249998</v>
      </c>
      <c r="I26" s="49"/>
      <c r="J26" s="105">
        <f>H26*(1+$D26)</f>
        <v>1.1314082128906247</v>
      </c>
      <c r="K26" s="105">
        <f>J26*(1+$D26)</f>
        <v>1.1596934182128902</v>
      </c>
      <c r="L26" s="105">
        <f>K26*(1+$D26)</f>
        <v>1.1886857536682123</v>
      </c>
      <c r="M26" s="105">
        <f>L26*(1+$D26)</f>
        <v>1.2184028975099175</v>
      </c>
      <c r="N26" s="49"/>
      <c r="O26" s="105">
        <f>M26*(1+$D26)</f>
        <v>1.2488629699476652</v>
      </c>
      <c r="P26" s="105">
        <f>O26*(1+$D26)</f>
        <v>1.2800845441963566</v>
      </c>
      <c r="Q26" s="105">
        <f>P26*(1+$D26)</f>
        <v>1.3120866578012655</v>
      </c>
      <c r="R26" s="105">
        <f>Q26*(1+$D26)</f>
        <v>1.3448888242462971</v>
      </c>
      <c r="S26" s="49"/>
      <c r="T26" s="105">
        <f>R26*(1+$D26)</f>
        <v>1.3785110448524545</v>
      </c>
      <c r="U26" s="105">
        <f>T26*(1+$D26)</f>
        <v>1.4129738209737657</v>
      </c>
      <c r="V26" s="105">
        <f>U26*(1+$D26)</f>
        <v>1.4482981664981096</v>
      </c>
      <c r="W26" s="105">
        <f>V26*(1+$D26)</f>
        <v>1.4845056206605622</v>
      </c>
      <c r="X26" s="49"/>
      <c r="Y26" s="105">
        <f>W26*(1+$D26)</f>
        <v>1.5216182611770761</v>
      </c>
      <c r="Z26" s="105">
        <f>Y26*(1+$D26)</f>
        <v>1.5596587177065029</v>
      </c>
      <c r="AA26" s="105">
        <f>Z26*(1+$D26)</f>
        <v>1.5986501856491653</v>
      </c>
      <c r="AB26" s="105">
        <f>AA26*(1+$D26)</f>
        <v>1.6386164402903942</v>
      </c>
      <c r="AC26" s="49"/>
    </row>
    <row r="27" spans="2:29"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2:29">
      <c r="B28" s="48" t="s">
        <v>404</v>
      </c>
      <c r="C28" s="49"/>
      <c r="D28" s="49">
        <f>SUM(E28:AC28)</f>
        <v>344770879.40588087</v>
      </c>
      <c r="E28" s="49">
        <f>SUMPRODUCT(E7:E10,$D7:$D10)*3*E$26</f>
        <v>6748394.9999999991</v>
      </c>
      <c r="F28" s="49">
        <f>SUMPRODUCT(F7:F10,$D7:$D10)*3*F$26</f>
        <v>6917104.8749999991</v>
      </c>
      <c r="G28" s="49">
        <f>SUMPRODUCT(G7:G10,$D7:$D10)*3*G$26</f>
        <v>7090032.4968749993</v>
      </c>
      <c r="H28" s="49">
        <f>SUMPRODUCT(H7:H10,$D7:$D10)*3*H$26</f>
        <v>7267283.3092968734</v>
      </c>
      <c r="I28" s="49">
        <f>SUM(E28:H28)</f>
        <v>28022815.681171868</v>
      </c>
      <c r="J28" s="49">
        <f>SUMPRODUCT(J7:J10,$D7:$D10)*3*J$26</f>
        <v>7448965.3920292947</v>
      </c>
      <c r="K28" s="49">
        <f>SUMPRODUCT(K7:K10,$D7:$D10)*3*K$26</f>
        <v>7635189.5268300259</v>
      </c>
      <c r="L28" s="49">
        <f>SUMPRODUCT(L7:L10,$D7:$D10)*3*L$26</f>
        <v>7826069.2650007764</v>
      </c>
      <c r="M28" s="49">
        <f>SUMPRODUCT(M7:M10,$D7:$D10)*3*M$26</f>
        <v>8021720.996625795</v>
      </c>
      <c r="N28" s="49">
        <f>SUM(J28:M28)</f>
        <v>30931945.180485893</v>
      </c>
      <c r="O28" s="49">
        <f>SUMPRODUCT(O7:O10,$D7:$D10)*3*O$26</f>
        <v>8222264.0215414381</v>
      </c>
      <c r="P28" s="49">
        <f>SUMPRODUCT(P7:P10,$D7:$D10)*3*P$26</f>
        <v>8427820.6220799722</v>
      </c>
      <c r="Q28" s="49">
        <f>SUMPRODUCT(Q7:Q10,$D7:$D10)*3*Q$26</f>
        <v>8638516.1376319714</v>
      </c>
      <c r="R28" s="49">
        <f>SUMPRODUCT(R7:R10,$D7:$D10)*3*R$26</f>
        <v>8854479.041072771</v>
      </c>
      <c r="S28" s="49">
        <f>SUM(O28:R28)</f>
        <v>34143079.822326154</v>
      </c>
      <c r="T28" s="49">
        <f>SUMPRODUCT(T7:T10,$D7:$D10)*3*T$26</f>
        <v>9075841.0170995891</v>
      </c>
      <c r="U28" s="49">
        <f>SUMPRODUCT(U7:U10,$D7:$D10)*3*U$26</f>
        <v>9302737.0425270777</v>
      </c>
      <c r="V28" s="49">
        <f>SUMPRODUCT(V7:V10,$D7:$D10)*3*V$26</f>
        <v>9535305.468590254</v>
      </c>
      <c r="W28" s="49">
        <f>SUMPRODUCT(W7:W10,$D7:$D10)*3*W$26</f>
        <v>9773688.1053050105</v>
      </c>
      <c r="X28" s="49">
        <f>SUM(T28:W28)</f>
        <v>37687571.633521929</v>
      </c>
      <c r="Y28" s="49">
        <f>SUMPRODUCT(Y7:Y10,$D7:$D10)*3*Y$26</f>
        <v>10018030.307937633</v>
      </c>
      <c r="Z28" s="49">
        <f>SUMPRODUCT(Z7:Z10,$D7:$D10)*3*Z$26</f>
        <v>10268481.065636074</v>
      </c>
      <c r="AA28" s="49">
        <f>SUMPRODUCT(AA7:AA10,$D7:$D10)*3*AA$26</f>
        <v>10525193.092276974</v>
      </c>
      <c r="AB28" s="49">
        <f>SUMPRODUCT(AB7:AB10,$D7:$D10)*3*AB$26</f>
        <v>10788322.919583898</v>
      </c>
      <c r="AC28" s="49">
        <f>SUM(Y28:AB28)</f>
        <v>41600027.385434583</v>
      </c>
    </row>
    <row r="29" spans="2:29">
      <c r="B29" s="48" t="s">
        <v>288</v>
      </c>
      <c r="C29" s="49"/>
      <c r="D29" s="49">
        <f>SUM(E29:AC29)</f>
        <v>226789046.52799124</v>
      </c>
      <c r="E29" s="49">
        <f>SUMPRODUCT(E13:E20,$D13:$D20)*3*E$26</f>
        <v>4439070</v>
      </c>
      <c r="F29" s="49">
        <f>SUMPRODUCT(F13:F20,$D13:$D20)*3*F$26</f>
        <v>4550046.75</v>
      </c>
      <c r="G29" s="49">
        <f>SUMPRODUCT(G13:G20,$D13:$D20)*3*G$26</f>
        <v>4663797.9187499993</v>
      </c>
      <c r="H29" s="49">
        <f>SUMPRODUCT(H13:H20,$D13:$D20)*3*H$26</f>
        <v>4780392.8667187486</v>
      </c>
      <c r="I29" s="49">
        <f>SUM(E29:H29)</f>
        <v>18433307.53546875</v>
      </c>
      <c r="J29" s="49">
        <f>SUMPRODUCT(J13:J20,$D13:$D20)*3*J$26</f>
        <v>4899902.6883867169</v>
      </c>
      <c r="K29" s="49">
        <f>SUMPRODUCT(K13:K20,$D13:$D20)*3*K$26</f>
        <v>5022400.2555963844</v>
      </c>
      <c r="L29" s="49">
        <f>SUMPRODUCT(L13:L20,$D13:$D20)*3*L$26</f>
        <v>5147960.2619862938</v>
      </c>
      <c r="M29" s="49">
        <f>SUMPRODUCT(M13:M20,$D13:$D20)*3*M$26</f>
        <v>5276659.2685359502</v>
      </c>
      <c r="N29" s="49">
        <f>SUM(J29:M29)</f>
        <v>20346922.474505343</v>
      </c>
      <c r="O29" s="49">
        <f>SUMPRODUCT(O13:O20,$D13:$D20)*3*O$26</f>
        <v>5408575.7502493486</v>
      </c>
      <c r="P29" s="49">
        <f>SUMPRODUCT(P13:P20,$D13:$D20)*3*P$26</f>
        <v>5543790.1440055817</v>
      </c>
      <c r="Q29" s="49">
        <f>SUMPRODUCT(Q13:Q20,$D13:$D20)*3*Q$26</f>
        <v>5682384.8976057209</v>
      </c>
      <c r="R29" s="49">
        <f>SUMPRODUCT(R13:R20,$D13:$D20)*3*R$26</f>
        <v>5824444.5200458635</v>
      </c>
      <c r="S29" s="49">
        <f>SUM(O29:R29)</f>
        <v>22459195.311906517</v>
      </c>
      <c r="T29" s="49">
        <f>SUMPRODUCT(T13:T20,$D13:$D20)*3*T$26</f>
        <v>5970055.6330470098</v>
      </c>
      <c r="U29" s="49">
        <f>SUMPRODUCT(U13:U20,$D13:$D20)*3*U$26</f>
        <v>6119307.0238731848</v>
      </c>
      <c r="V29" s="49">
        <f>SUMPRODUCT(V13:V20,$D13:$D20)*3*V$26</f>
        <v>6272289.6994700134</v>
      </c>
      <c r="W29" s="49">
        <f>SUMPRODUCT(W13:W20,$D13:$D20)*3*W$26</f>
        <v>6429096.9419567632</v>
      </c>
      <c r="X29" s="49">
        <f>SUM(T29:W29)</f>
        <v>24790749.29834697</v>
      </c>
      <c r="Y29" s="49">
        <f>SUMPRODUCT(Y13:Y20,$D13:$D20)*3*Y$26</f>
        <v>6589824.3655056814</v>
      </c>
      <c r="Z29" s="49">
        <f>SUMPRODUCT(Z13:Z20,$D13:$D20)*3*Z$26</f>
        <v>6754569.9746433226</v>
      </c>
      <c r="AA29" s="49">
        <f>SUMPRODUCT(AA13:AA20,$D13:$D20)*3*AA$26</f>
        <v>6923434.2240094049</v>
      </c>
      <c r="AB29" s="49">
        <f>SUMPRODUCT(AB13:AB20,$D13:$D20)*3*AB$26</f>
        <v>7096520.079609639</v>
      </c>
      <c r="AC29" s="49">
        <f>SUM(Y29:AB29)</f>
        <v>27364348.64376805</v>
      </c>
    </row>
    <row r="30" spans="2:29">
      <c r="B30" s="48" t="s">
        <v>343</v>
      </c>
      <c r="C30" s="49"/>
      <c r="D30" s="49">
        <f>SUM(E30:AC30)</f>
        <v>237718136.25260103</v>
      </c>
      <c r="E30" s="49">
        <f>SUMPRODUCT(E23:E24,$D23:$D24)*3*E$26</f>
        <v>3465524.9999999995</v>
      </c>
      <c r="F30" s="49">
        <f>SUMPRODUCT(F23:F24,$D23:$D24)*3*F$26</f>
        <v>3552163.1249999995</v>
      </c>
      <c r="G30" s="49">
        <f>SUMPRODUCT(G23:G24,$D23:$D24)*3*G$26</f>
        <v>4610168.7656249991</v>
      </c>
      <c r="H30" s="49">
        <f>SUMPRODUCT(H23:H24,$D23:$D24)*3*H$26</f>
        <v>5139352.8187499987</v>
      </c>
      <c r="I30" s="49">
        <f>SUM(E30:H30)</f>
        <v>16767209.709374998</v>
      </c>
      <c r="J30" s="49">
        <f>SUMPRODUCT(J23:J24,$D23:$D24)*3*J$26</f>
        <v>5267836.6392187485</v>
      </c>
      <c r="K30" s="49">
        <f>SUMPRODUCT(K23:K24,$D23:$D24)*3*K$26</f>
        <v>5399532.5551992171</v>
      </c>
      <c r="L30" s="49">
        <f>SUMPRODUCT(L23:L24,$D23:$D24)*3*L$26</f>
        <v>5534520.8690791959</v>
      </c>
      <c r="M30" s="49">
        <f>SUMPRODUCT(M23:M24,$D23:$D24)*3*M$26</f>
        <v>5672883.8908061758</v>
      </c>
      <c r="N30" s="49">
        <f>SUM(J30:M30)</f>
        <v>21874773.954303335</v>
      </c>
      <c r="O30" s="49">
        <f>SUMPRODUCT(O23:O24,$D23:$D24)*3*O$26</f>
        <v>5814705.9880763292</v>
      </c>
      <c r="P30" s="49">
        <f>SUMPRODUCT(P23:P24,$D23:$D24)*3*P$26</f>
        <v>5960073.6377782365</v>
      </c>
      <c r="Q30" s="49">
        <f>SUMPRODUCT(Q23:Q24,$D23:$D24)*3*Q$26</f>
        <v>6109075.4787226925</v>
      </c>
      <c r="R30" s="49">
        <f>SUMPRODUCT(R23:R24,$D23:$D24)*3*R$26</f>
        <v>6261802.3656907594</v>
      </c>
      <c r="S30" s="49">
        <f>SUM(O30:R30)</f>
        <v>24145657.470268019</v>
      </c>
      <c r="T30" s="49">
        <f>SUMPRODUCT(T23:T24,$D23:$D24)*3*T$26</f>
        <v>6418347.4248330276</v>
      </c>
      <c r="U30" s="49">
        <f>SUMPRODUCT(U23:U24,$D23:$D24)*3*U$26</f>
        <v>6578806.1104538534</v>
      </c>
      <c r="V30" s="49">
        <f>SUMPRODUCT(V23:V24,$D23:$D24)*3*V$26</f>
        <v>6743276.2632151982</v>
      </c>
      <c r="W30" s="49">
        <f>SUMPRODUCT(W23:W24,$D23:$D24)*3*W$26</f>
        <v>6911858.1697955774</v>
      </c>
      <c r="X30" s="49">
        <f>SUM(T30:W30)</f>
        <v>26652287.968297657</v>
      </c>
      <c r="Y30" s="49">
        <f>SUMPRODUCT(Y23:Y24,$D23:$D24)*3*Y$26</f>
        <v>7084654.6240404667</v>
      </c>
      <c r="Z30" s="49">
        <f>SUMPRODUCT(Z23:Z24,$D23:$D24)*3*Z$26</f>
        <v>7261770.9896414774</v>
      </c>
      <c r="AA30" s="49">
        <f>SUMPRODUCT(AA23:AA24,$D23:$D24)*3*AA$26</f>
        <v>7443315.2643825132</v>
      </c>
      <c r="AB30" s="49">
        <f>SUMPRODUCT(AB23:AB24,$D23:$D24)*3*AB$26</f>
        <v>7629398.1459920751</v>
      </c>
      <c r="AC30" s="49">
        <f>SUM(Y30:AB30)</f>
        <v>29419139.024056531</v>
      </c>
    </row>
    <row r="31" spans="2:29" s="47" customFormat="1" ht="15" thickBot="1">
      <c r="B31" s="165" t="s">
        <v>162</v>
      </c>
      <c r="C31" s="165"/>
      <c r="D31" s="165">
        <f t="shared" ref="D31:I31" si="8">SUM(D28:D30)</f>
        <v>809278062.18647313</v>
      </c>
      <c r="E31" s="165">
        <f t="shared" si="8"/>
        <v>14652990</v>
      </c>
      <c r="F31" s="165">
        <f t="shared" si="8"/>
        <v>15019314.75</v>
      </c>
      <c r="G31" s="165">
        <f t="shared" si="8"/>
        <v>16363999.181249999</v>
      </c>
      <c r="H31" s="165">
        <f t="shared" si="8"/>
        <v>17187028.994765621</v>
      </c>
      <c r="I31" s="165">
        <f t="shared" si="8"/>
        <v>63223332.926015615</v>
      </c>
      <c r="J31" s="165">
        <f t="shared" ref="J31:AC31" si="9">SUM(J28:J30)</f>
        <v>17616704.71963476</v>
      </c>
      <c r="K31" s="165">
        <f t="shared" si="9"/>
        <v>18057122.337625626</v>
      </c>
      <c r="L31" s="165">
        <f t="shared" si="9"/>
        <v>18508550.396066267</v>
      </c>
      <c r="M31" s="165">
        <f t="shared" si="9"/>
        <v>18971264.155967921</v>
      </c>
      <c r="N31" s="165">
        <f>SUM(N28:N30)</f>
        <v>73153641.609294578</v>
      </c>
      <c r="O31" s="165">
        <f t="shared" si="9"/>
        <v>19445545.759867117</v>
      </c>
      <c r="P31" s="165">
        <f t="shared" si="9"/>
        <v>19931684.403863791</v>
      </c>
      <c r="Q31" s="165">
        <f t="shared" si="9"/>
        <v>20429976.513960384</v>
      </c>
      <c r="R31" s="165">
        <f t="shared" si="9"/>
        <v>20940725.926809393</v>
      </c>
      <c r="S31" s="165">
        <f>SUM(S28:S30)</f>
        <v>80747932.604500681</v>
      </c>
      <c r="T31" s="165">
        <f t="shared" si="9"/>
        <v>21464244.074979626</v>
      </c>
      <c r="U31" s="165">
        <f t="shared" si="9"/>
        <v>22000850.176854119</v>
      </c>
      <c r="V31" s="165">
        <f t="shared" si="9"/>
        <v>22550871.431275465</v>
      </c>
      <c r="W31" s="165">
        <f t="shared" si="9"/>
        <v>23114643.217057351</v>
      </c>
      <c r="X31" s="165">
        <f>SUM(X28:X30)</f>
        <v>89130608.900166556</v>
      </c>
      <c r="Y31" s="165">
        <f t="shared" si="9"/>
        <v>23692509.297483779</v>
      </c>
      <c r="Z31" s="165">
        <f t="shared" si="9"/>
        <v>24284822.029920872</v>
      </c>
      <c r="AA31" s="165">
        <f t="shared" si="9"/>
        <v>24891942.580668889</v>
      </c>
      <c r="AB31" s="165">
        <f t="shared" si="9"/>
        <v>25514241.145185612</v>
      </c>
      <c r="AC31" s="165">
        <f t="shared" si="9"/>
        <v>98383515.053259164</v>
      </c>
    </row>
    <row r="32" spans="2:29" ht="15" thickTop="1"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2:29">
      <c r="B33" s="48"/>
      <c r="C33" s="49"/>
      <c r="D33" s="49"/>
      <c r="E33" s="49"/>
      <c r="F33" s="49"/>
      <c r="G33" s="49" t="s">
        <v>461</v>
      </c>
      <c r="H33" s="49">
        <v>10000000</v>
      </c>
      <c r="I33" s="49" t="s">
        <v>391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2:29">
      <c r="B34" s="48"/>
      <c r="C34" s="49"/>
      <c r="D34" s="49"/>
      <c r="E34" s="49"/>
      <c r="F34" s="49"/>
      <c r="G34" s="49" t="s">
        <v>460</v>
      </c>
      <c r="H34" s="49">
        <v>4000000</v>
      </c>
      <c r="I34" s="49" t="s">
        <v>391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2:29">
      <c r="B35" s="48"/>
      <c r="C35" s="49"/>
      <c r="D35" s="49"/>
      <c r="E35" s="49"/>
      <c r="F35" s="49"/>
      <c r="G35" s="49"/>
      <c r="H35" s="49" t="s">
        <v>462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2:29">
      <c r="B36" s="48"/>
      <c r="C36" s="49"/>
      <c r="D36" s="49"/>
      <c r="E36" s="49"/>
      <c r="F36" s="49"/>
      <c r="G36" s="49" t="s">
        <v>463</v>
      </c>
      <c r="H36" s="49">
        <v>3500000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2:29"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 spans="2:29"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2:29"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2:29"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2:29"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2:29"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2:29"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2:29"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spans="2:29"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2:29"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2:29"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2:29"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2:29">
      <c r="B49" s="48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2:29">
      <c r="B50" s="48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2:29"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spans="2:29"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2:29">
      <c r="B53" s="48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2:29"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2:29"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2:29">
      <c r="B56" s="48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2:29"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2:29"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spans="2:29"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2:29">
      <c r="B60" s="48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2:29">
      <c r="B61" s="48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2:29">
      <c r="B62" s="48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2:29">
      <c r="B63" s="48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2:29"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2:29">
      <c r="B65" s="48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spans="2:29">
      <c r="B66" s="48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2:29">
      <c r="B67" s="48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2:29">
      <c r="B68" s="48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2:29"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2:29">
      <c r="B70" s="48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2:29">
      <c r="B71" s="48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2:29">
      <c r="B72" s="48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spans="2:29">
      <c r="B73" s="48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2:29" s="47" customFormat="1" ht="3.45" customHeight="1">
      <c r="D74" s="9"/>
    </row>
    <row r="75" spans="2:29">
      <c r="AC75" s="7"/>
    </row>
    <row r="77" spans="2:29">
      <c r="I77" s="47"/>
    </row>
    <row r="78" spans="2:29">
      <c r="I78" s="7"/>
    </row>
    <row r="79" spans="2:29">
      <c r="I79" s="7"/>
    </row>
    <row r="90" spans="1:1">
      <c r="A90" s="102"/>
    </row>
    <row r="121" spans="1:1">
      <c r="A121" s="102"/>
    </row>
  </sheetData>
  <pageMargins left="0.7" right="0.7" top="0.75" bottom="0.75" header="0.3" footer="0.3"/>
  <pageSetup paperSize="9" orientation="portrait" horizontalDpi="0" verticalDpi="0"/>
  <ignoredErrors>
    <ignoredError sqref="X28:X29 I28 N28:N30 S28:S30 I3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A650-F4F6-4DD2-909F-4E0A78CF8AF5}">
  <dimension ref="F9:K11"/>
  <sheetViews>
    <sheetView workbookViewId="0">
      <selection activeCell="F11" sqref="F11"/>
    </sheetView>
  </sheetViews>
  <sheetFormatPr defaultColWidth="8.77734375" defaultRowHeight="14.4"/>
  <cols>
    <col min="6" max="6" width="10.77734375" bestFit="1" customWidth="1"/>
  </cols>
  <sheetData>
    <row r="9" spans="6:11">
      <c r="F9" t="s">
        <v>573</v>
      </c>
      <c r="G9" s="196">
        <v>38.003959760726907</v>
      </c>
      <c r="H9" s="196">
        <v>128.12185845472226</v>
      </c>
      <c r="I9" s="196">
        <v>179.44505639302633</v>
      </c>
      <c r="J9" s="196">
        <v>193.8696200091949</v>
      </c>
      <c r="K9" s="196">
        <v>201.83751706359473</v>
      </c>
    </row>
    <row r="10" spans="6:11">
      <c r="F10" t="s">
        <v>576</v>
      </c>
      <c r="G10" s="196">
        <v>38.445316729052379</v>
      </c>
      <c r="H10" s="196">
        <v>42.00493706690893</v>
      </c>
      <c r="I10" s="196">
        <v>67.55327099469919</v>
      </c>
      <c r="J10" s="196">
        <v>82.466648241552591</v>
      </c>
      <c r="K10" s="196">
        <v>99.610867793145147</v>
      </c>
    </row>
    <row r="11" spans="6:11">
      <c r="F11" t="s">
        <v>600</v>
      </c>
      <c r="G11" s="196">
        <v>76.449276489779294</v>
      </c>
      <c r="H11" s="196">
        <v>170.12679552163118</v>
      </c>
      <c r="I11" s="196">
        <v>246.99832738772551</v>
      </c>
      <c r="J11" s="196">
        <v>276.33626825074748</v>
      </c>
      <c r="K11" s="196">
        <v>301.44838485673989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3FA6-FD25-4AB6-8720-B796B7ECEC34}">
  <sheetPr>
    <tabColor theme="0"/>
  </sheetPr>
  <dimension ref="A1"/>
  <sheetViews>
    <sheetView workbookViewId="0">
      <selection activeCell="M40" sqref="M40"/>
    </sheetView>
  </sheetViews>
  <sheetFormatPr defaultColWidth="8.6640625"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6096-ABBC-45FE-9127-C96AC17CB8F5}">
  <sheetPr>
    <tabColor theme="5"/>
  </sheetPr>
  <dimension ref="A1:W45"/>
  <sheetViews>
    <sheetView topLeftCell="C1" zoomScale="113" workbookViewId="0">
      <selection activeCell="N6" sqref="N6"/>
    </sheetView>
  </sheetViews>
  <sheetFormatPr defaultColWidth="8.6640625" defaultRowHeight="14.4"/>
  <cols>
    <col min="1" max="1" width="22.6640625" bestFit="1" customWidth="1"/>
    <col min="2" max="2" width="15.109375" bestFit="1" customWidth="1"/>
    <col min="3" max="3" width="12.33203125" style="9" bestFit="1" customWidth="1"/>
    <col min="4" max="23" width="16.33203125" style="9" bestFit="1" customWidth="1"/>
    <col min="24" max="16384" width="8.6640625" style="9"/>
  </cols>
  <sheetData>
    <row r="1" spans="1:23" s="8" customFormat="1">
      <c r="A1"/>
      <c r="B1"/>
      <c r="C1"/>
      <c r="D1">
        <v>10000000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23" s="8" customFormat="1" ht="15.6">
      <c r="A2" s="1" t="s">
        <v>13</v>
      </c>
      <c r="B2"/>
      <c r="C2"/>
      <c r="D2"/>
      <c r="E2"/>
      <c r="F2"/>
      <c r="G2"/>
      <c r="H2"/>
      <c r="I2"/>
      <c r="J2"/>
      <c r="K2"/>
      <c r="L2"/>
      <c r="M2"/>
      <c r="N2" s="2" t="s">
        <v>5</v>
      </c>
      <c r="O2">
        <v>60.72</v>
      </c>
      <c r="P2"/>
      <c r="Q2"/>
      <c r="R2"/>
      <c r="S2"/>
      <c r="T2"/>
      <c r="U2"/>
      <c r="V2"/>
      <c r="W2"/>
    </row>
    <row r="3" spans="1:23" s="8" customFormat="1">
      <c r="A3" s="1" t="s">
        <v>0</v>
      </c>
      <c r="B3"/>
      <c r="C3"/>
      <c r="D3"/>
      <c r="E3"/>
      <c r="F3"/>
      <c r="G3"/>
      <c r="H3"/>
      <c r="I3"/>
      <c r="J3"/>
      <c r="K3"/>
      <c r="L3"/>
      <c r="M3"/>
      <c r="N3" t="s">
        <v>6</v>
      </c>
      <c r="O3">
        <v>94</v>
      </c>
      <c r="P3"/>
      <c r="Q3"/>
      <c r="R3"/>
      <c r="S3"/>
      <c r="T3"/>
      <c r="U3"/>
      <c r="V3"/>
      <c r="W3"/>
    </row>
    <row r="4" spans="1:23" s="8" customFormat="1">
      <c r="A4" t="s">
        <v>1</v>
      </c>
      <c r="B4"/>
      <c r="C4">
        <v>300</v>
      </c>
      <c r="D4" t="s">
        <v>43</v>
      </c>
      <c r="E4"/>
      <c r="F4"/>
      <c r="G4"/>
      <c r="H4"/>
      <c r="I4"/>
      <c r="J4"/>
      <c r="K4"/>
      <c r="L4"/>
      <c r="M4"/>
      <c r="N4" t="s">
        <v>7</v>
      </c>
      <c r="O4">
        <v>99</v>
      </c>
      <c r="P4"/>
      <c r="Q4"/>
      <c r="R4"/>
      <c r="S4"/>
      <c r="T4"/>
      <c r="U4"/>
      <c r="V4"/>
      <c r="W4"/>
    </row>
    <row r="5" spans="1:23" s="8" customFormat="1">
      <c r="A5" t="s">
        <v>29</v>
      </c>
      <c r="B5"/>
      <c r="C5" s="8">
        <v>410338.89235862059</v>
      </c>
      <c r="D5" t="s">
        <v>30</v>
      </c>
      <c r="E5"/>
      <c r="F5"/>
      <c r="G5"/>
      <c r="H5"/>
      <c r="I5"/>
      <c r="J5"/>
      <c r="K5"/>
      <c r="L5"/>
      <c r="M5"/>
      <c r="N5" t="s">
        <v>8</v>
      </c>
      <c r="O5" t="s">
        <v>4</v>
      </c>
      <c r="P5"/>
      <c r="Q5"/>
      <c r="R5"/>
      <c r="S5"/>
      <c r="T5"/>
      <c r="U5"/>
      <c r="V5"/>
      <c r="W5"/>
    </row>
    <row r="6" spans="1:23" s="8" customFormat="1">
      <c r="A6" t="s">
        <v>3</v>
      </c>
      <c r="B6"/>
      <c r="C6" t="s">
        <v>2</v>
      </c>
      <c r="D6"/>
      <c r="E6"/>
      <c r="F6"/>
      <c r="G6"/>
      <c r="H6"/>
      <c r="I6"/>
      <c r="J6"/>
      <c r="K6"/>
      <c r="L6"/>
      <c r="M6"/>
      <c r="N6" s="3" t="s">
        <v>9</v>
      </c>
      <c r="O6" s="72">
        <v>0.56823928461301298</v>
      </c>
      <c r="P6"/>
      <c r="Q6"/>
      <c r="R6"/>
      <c r="S6"/>
      <c r="T6"/>
      <c r="U6"/>
      <c r="V6"/>
      <c r="W6"/>
    </row>
    <row r="7" spans="1:23" s="8" customFormat="1">
      <c r="A7" t="s">
        <v>42</v>
      </c>
      <c r="B7"/>
      <c r="C7" s="4">
        <v>0.6</v>
      </c>
      <c r="D7" t="s">
        <v>38</v>
      </c>
      <c r="E7"/>
      <c r="F7"/>
      <c r="G7"/>
      <c r="H7"/>
      <c r="I7"/>
      <c r="J7"/>
      <c r="K7"/>
      <c r="L7"/>
      <c r="M7"/>
      <c r="N7" t="s">
        <v>10</v>
      </c>
      <c r="O7" s="8">
        <f>O6*O2*10</f>
        <v>345.03489361702151</v>
      </c>
      <c r="P7"/>
      <c r="Q7" s="10">
        <f>Ethanol!$E$10</f>
        <v>0</v>
      </c>
      <c r="R7" s="11">
        <f>Q7/O12</f>
        <v>0</v>
      </c>
      <c r="S7" s="11">
        <f>R7*1000</f>
        <v>0</v>
      </c>
      <c r="T7"/>
      <c r="U7"/>
      <c r="V7"/>
      <c r="W7"/>
    </row>
    <row r="8" spans="1:23" s="8" customFormat="1">
      <c r="A8" t="s">
        <v>14</v>
      </c>
      <c r="B8"/>
      <c r="C8">
        <f>O9</f>
        <v>406.95750570342227</v>
      </c>
      <c r="D8" t="s">
        <v>31</v>
      </c>
      <c r="E8"/>
      <c r="F8"/>
      <c r="G8"/>
      <c r="H8"/>
      <c r="I8"/>
      <c r="J8"/>
      <c r="K8"/>
      <c r="L8"/>
      <c r="M8"/>
      <c r="N8" t="s">
        <v>11</v>
      </c>
      <c r="O8" s="8">
        <f>O7*O3%*O4%</f>
        <v>321.08947200000017</v>
      </c>
      <c r="P8"/>
      <c r="Q8"/>
      <c r="R8"/>
      <c r="S8"/>
      <c r="T8"/>
      <c r="U8"/>
      <c r="V8"/>
      <c r="W8"/>
    </row>
    <row r="9" spans="1:23" s="8" customFormat="1">
      <c r="A9" t="s">
        <v>44</v>
      </c>
      <c r="B9"/>
      <c r="C9">
        <v>71.86</v>
      </c>
      <c r="D9" t="s">
        <v>46</v>
      </c>
      <c r="E9"/>
      <c r="F9"/>
      <c r="G9"/>
      <c r="H9"/>
      <c r="I9"/>
      <c r="J9"/>
      <c r="K9"/>
      <c r="L9"/>
      <c r="M9"/>
      <c r="N9" t="s">
        <v>12</v>
      </c>
      <c r="O9" s="8">
        <f>O8/0.789</f>
        <v>406.95750570342227</v>
      </c>
      <c r="P9"/>
      <c r="Q9"/>
      <c r="R9"/>
      <c r="S9"/>
      <c r="T9"/>
      <c r="U9"/>
      <c r="V9"/>
      <c r="W9"/>
    </row>
    <row r="10" spans="1:23" s="8" customFormat="1">
      <c r="A10" t="s">
        <v>45</v>
      </c>
      <c r="B10"/>
      <c r="C10">
        <f>C8*C9</f>
        <v>29243.966359847924</v>
      </c>
      <c r="D10" t="s">
        <v>38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8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 t="s">
        <v>0</v>
      </c>
      <c r="O12">
        <f>C5/1000</f>
        <v>410.33889235862057</v>
      </c>
      <c r="P12" t="s">
        <v>63</v>
      </c>
      <c r="Q12"/>
      <c r="R12"/>
      <c r="S12"/>
      <c r="T12"/>
      <c r="U12"/>
      <c r="V12"/>
      <c r="W12"/>
    </row>
    <row r="13" spans="1:23" s="8" customFormat="1">
      <c r="A13" s="1" t="s">
        <v>36</v>
      </c>
      <c r="B13"/>
      <c r="C13"/>
      <c r="D13"/>
      <c r="E13"/>
      <c r="F13"/>
      <c r="G13"/>
      <c r="H13"/>
      <c r="I13"/>
      <c r="J13"/>
      <c r="K13"/>
      <c r="L13"/>
      <c r="M13"/>
      <c r="N13" t="s">
        <v>66</v>
      </c>
      <c r="O13" s="11">
        <f>O12/O6</f>
        <v>722.12341432548601</v>
      </c>
      <c r="P13" t="s">
        <v>63</v>
      </c>
      <c r="Q13"/>
      <c r="R13"/>
      <c r="S13"/>
      <c r="T13"/>
      <c r="U13"/>
      <c r="V13"/>
      <c r="W13"/>
    </row>
    <row r="14" spans="1:23" s="8" customFormat="1">
      <c r="A14" t="s">
        <v>37</v>
      </c>
      <c r="B14"/>
      <c r="C14">
        <v>280</v>
      </c>
      <c r="D14" t="s">
        <v>40</v>
      </c>
      <c r="E14"/>
      <c r="F14"/>
      <c r="G14"/>
      <c r="H14"/>
      <c r="I14"/>
      <c r="J14"/>
      <c r="K14"/>
      <c r="L14"/>
      <c r="M14"/>
      <c r="N14" t="s">
        <v>67</v>
      </c>
      <c r="O14" s="11">
        <f>O13/O2%</f>
        <v>1189.2678101539625</v>
      </c>
      <c r="P14" t="s">
        <v>63</v>
      </c>
      <c r="Q14"/>
      <c r="R14"/>
      <c r="S14"/>
      <c r="T14"/>
      <c r="U14"/>
      <c r="V14"/>
      <c r="W14"/>
    </row>
    <row r="15" spans="1:23" s="8" customFormat="1">
      <c r="A15" t="s">
        <v>39</v>
      </c>
      <c r="B15"/>
      <c r="C15">
        <v>14.5</v>
      </c>
      <c r="D15" t="s">
        <v>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s="8" customFormat="1">
      <c r="A16" t="s">
        <v>41</v>
      </c>
      <c r="B16"/>
      <c r="C16">
        <f>C14*C15</f>
        <v>4060</v>
      </c>
      <c r="D16" t="s">
        <v>38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s="8" customForma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s="8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8" customFormat="1">
      <c r="A19" s="1" t="s">
        <v>15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s="8" customFormat="1">
      <c r="A20" t="str">
        <f>A$4</f>
        <v>Operational days</v>
      </c>
      <c r="B20"/>
      <c r="C20">
        <f>C$4</f>
        <v>300</v>
      </c>
      <c r="D20" t="str">
        <f>D$4</f>
        <v>days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s="8" customFormat="1">
      <c r="A21" t="s">
        <v>16</v>
      </c>
      <c r="B21"/>
      <c r="C21">
        <v>55</v>
      </c>
      <c r="D21" t="s">
        <v>47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8" customFormat="1">
      <c r="A22" t="s">
        <v>16</v>
      </c>
      <c r="B22"/>
      <c r="C22">
        <v>800000</v>
      </c>
      <c r="D22" t="s">
        <v>48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8" customFormat="1">
      <c r="A23" t="s">
        <v>17</v>
      </c>
      <c r="B23"/>
      <c r="C23" s="5">
        <v>11</v>
      </c>
      <c r="D23" t="s">
        <v>18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8" customFormat="1">
      <c r="A24" t="s">
        <v>19</v>
      </c>
      <c r="B24"/>
      <c r="C24">
        <v>35</v>
      </c>
      <c r="D24" t="s">
        <v>20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8" customFormat="1">
      <c r="A25" t="s">
        <v>21</v>
      </c>
      <c r="B25"/>
      <c r="C25">
        <f>C24*C23</f>
        <v>385</v>
      </c>
      <c r="D25" t="s">
        <v>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8" customFormat="1">
      <c r="A26" t="s">
        <v>33</v>
      </c>
      <c r="B26"/>
      <c r="C26">
        <v>350</v>
      </c>
      <c r="D26" t="s">
        <v>18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8" customFormat="1">
      <c r="A27"/>
      <c r="B27"/>
      <c r="C27" s="6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8" customFormat="1">
      <c r="A28"/>
      <c r="B28"/>
      <c r="C28" s="6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8" customFormat="1">
      <c r="A29" s="1" t="s">
        <v>22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8" customFormat="1">
      <c r="A30" t="str">
        <f>A$21</f>
        <v>Total sugarcane crushed</v>
      </c>
      <c r="B30"/>
      <c r="C30">
        <f>C22</f>
        <v>800000</v>
      </c>
      <c r="D30" t="str">
        <f>D22</f>
        <v>ton/year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8" customFormat="1">
      <c r="A31" t="s">
        <v>23</v>
      </c>
      <c r="B31"/>
      <c r="C31" s="7">
        <v>0.05</v>
      </c>
      <c r="D31" t="s">
        <v>49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8" customFormat="1">
      <c r="A32" t="s">
        <v>24</v>
      </c>
      <c r="B32" t="s">
        <v>50</v>
      </c>
      <c r="C32">
        <v>12</v>
      </c>
      <c r="D32" t="s">
        <v>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s="8" customFormat="1">
      <c r="A33" s="1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s="8" customForma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s="8" customFormat="1">
      <c r="A35" s="1" t="s">
        <v>25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s="8" customFormat="1">
      <c r="A36" t="s">
        <v>55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s="8" customFormat="1">
      <c r="A37" t="s">
        <v>27</v>
      </c>
      <c r="B37"/>
      <c r="C37">
        <v>9.6643027697793897</v>
      </c>
      <c r="D37" t="s">
        <v>26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s="8" customFormat="1">
      <c r="A38" t="s">
        <v>28</v>
      </c>
      <c r="B38"/>
      <c r="C38">
        <v>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s="8" customFormat="1">
      <c r="A39" t="s">
        <v>53</v>
      </c>
      <c r="B39"/>
      <c r="C39">
        <v>4.6643027697793897</v>
      </c>
      <c r="D39" t="s">
        <v>26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s="8" customFormat="1">
      <c r="A40" t="s">
        <v>53</v>
      </c>
      <c r="B40"/>
      <c r="C40"/>
      <c r="D40" t="s">
        <v>54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8" customFormat="1">
      <c r="A41" t="s">
        <v>34</v>
      </c>
      <c r="B41"/>
      <c r="C41">
        <v>4000</v>
      </c>
      <c r="D41" t="s">
        <v>35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8" customFormat="1">
      <c r="A42" t="s">
        <v>51</v>
      </c>
      <c r="B42"/>
      <c r="C42">
        <v>4.5</v>
      </c>
      <c r="D42" t="s">
        <v>52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8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s="8" customForma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s="8" customForma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F4D3-0762-45DD-8386-CE0AC9B93B2C}">
  <dimension ref="A1:N144"/>
  <sheetViews>
    <sheetView zoomScale="188" workbookViewId="0">
      <selection activeCell="F20" sqref="F20"/>
    </sheetView>
  </sheetViews>
  <sheetFormatPr defaultColWidth="14.44140625" defaultRowHeight="15" customHeight="1"/>
  <cols>
    <col min="1" max="1" width="3.44140625" style="12" customWidth="1"/>
    <col min="2" max="2" width="3.6640625" style="12" customWidth="1"/>
    <col min="3" max="3" width="38.44140625" style="12" customWidth="1"/>
    <col min="4" max="12" width="10.33203125" style="12" customWidth="1"/>
    <col min="13" max="14" width="9.109375" style="12" customWidth="1"/>
    <col min="15" max="16384" width="14.44140625" style="12"/>
  </cols>
  <sheetData>
    <row r="1" spans="1:14" ht="12.75" customHeight="1">
      <c r="A1" s="13"/>
      <c r="B1" s="16"/>
      <c r="C1" s="15"/>
      <c r="D1" s="13"/>
      <c r="E1" s="13"/>
      <c r="F1" s="13"/>
      <c r="G1" s="13"/>
      <c r="H1" s="13"/>
      <c r="I1" s="13"/>
      <c r="J1" s="13"/>
      <c r="K1" s="13"/>
      <c r="L1" s="13">
        <v>10000000</v>
      </c>
      <c r="M1" s="13"/>
      <c r="N1" s="13"/>
    </row>
    <row r="2" spans="1:14" ht="12.75" customHeight="1">
      <c r="A2" s="200" t="s">
        <v>255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3"/>
      <c r="N2" s="13"/>
    </row>
    <row r="3" spans="1:14" ht="12.75" customHeight="1">
      <c r="A3" s="200" t="s">
        <v>254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3"/>
      <c r="N3" s="13"/>
    </row>
    <row r="4" spans="1:14" ht="7.5" customHeight="1">
      <c r="A4" s="214"/>
      <c r="B4" s="199"/>
      <c r="C4" s="199"/>
      <c r="D4" s="199"/>
      <c r="E4" s="199"/>
      <c r="F4" s="13"/>
      <c r="G4" s="13"/>
      <c r="H4" s="13"/>
      <c r="I4" s="13"/>
      <c r="J4" s="13"/>
      <c r="K4" s="13"/>
      <c r="L4" s="13"/>
      <c r="M4" s="13"/>
      <c r="N4" s="13"/>
    </row>
    <row r="5" spans="1:14" ht="12.75" customHeight="1">
      <c r="A5" s="198" t="s">
        <v>253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3"/>
      <c r="N5" s="13"/>
    </row>
    <row r="6" spans="1:14" ht="13.5" customHeight="1" thickBot="1">
      <c r="A6" s="26"/>
      <c r="B6" s="46"/>
      <c r="C6" s="15"/>
      <c r="D6" s="13"/>
      <c r="E6" s="45"/>
      <c r="F6" s="45"/>
      <c r="G6" s="45"/>
      <c r="H6" s="45"/>
      <c r="I6" s="45"/>
      <c r="J6" s="45"/>
      <c r="K6" s="216" t="s">
        <v>252</v>
      </c>
      <c r="L6" s="207"/>
      <c r="M6" s="13"/>
      <c r="N6" s="13"/>
    </row>
    <row r="7" spans="1:14" ht="15.75" customHeight="1" thickBot="1">
      <c r="A7" s="201" t="s">
        <v>149</v>
      </c>
      <c r="B7" s="202"/>
      <c r="C7" s="203"/>
      <c r="D7" s="44" t="s">
        <v>140</v>
      </c>
      <c r="E7" s="44" t="s">
        <v>141</v>
      </c>
      <c r="F7" s="44" t="s">
        <v>142</v>
      </c>
      <c r="G7" s="44" t="s">
        <v>150</v>
      </c>
      <c r="H7" s="44" t="s">
        <v>151</v>
      </c>
      <c r="I7" s="44" t="s">
        <v>152</v>
      </c>
      <c r="J7" s="44" t="s">
        <v>153</v>
      </c>
      <c r="K7" s="44" t="s">
        <v>154</v>
      </c>
      <c r="L7" s="44" t="s">
        <v>155</v>
      </c>
      <c r="M7" s="13"/>
      <c r="N7" s="13"/>
    </row>
    <row r="8" spans="1:14" ht="14.25" customHeight="1" thickBot="1">
      <c r="A8" s="204"/>
      <c r="B8" s="199"/>
      <c r="C8" s="205"/>
      <c r="D8" s="211" t="s">
        <v>156</v>
      </c>
      <c r="E8" s="212"/>
      <c r="F8" s="212"/>
      <c r="G8" s="213" t="s">
        <v>157</v>
      </c>
      <c r="H8" s="212"/>
      <c r="I8" s="212"/>
      <c r="J8" s="212"/>
      <c r="K8" s="212"/>
      <c r="L8" s="212"/>
      <c r="M8" s="26"/>
      <c r="N8" s="26"/>
    </row>
    <row r="9" spans="1:14" ht="13.5" customHeight="1" thickBot="1">
      <c r="A9" s="206"/>
      <c r="B9" s="207"/>
      <c r="C9" s="208"/>
      <c r="D9" s="43">
        <v>1</v>
      </c>
      <c r="E9" s="42">
        <f t="shared" ref="E9:L9" si="0">D9+1</f>
        <v>2</v>
      </c>
      <c r="F9" s="42">
        <f t="shared" si="0"/>
        <v>3</v>
      </c>
      <c r="G9" s="42">
        <f t="shared" si="0"/>
        <v>4</v>
      </c>
      <c r="H9" s="42">
        <f t="shared" si="0"/>
        <v>5</v>
      </c>
      <c r="I9" s="42">
        <f t="shared" si="0"/>
        <v>6</v>
      </c>
      <c r="J9" s="42">
        <f t="shared" si="0"/>
        <v>7</v>
      </c>
      <c r="K9" s="42">
        <f t="shared" si="0"/>
        <v>8</v>
      </c>
      <c r="L9" s="42">
        <f t="shared" si="0"/>
        <v>9</v>
      </c>
      <c r="M9" s="26"/>
      <c r="N9" s="26"/>
    </row>
    <row r="10" spans="1:14" ht="4.5" customHeight="1">
      <c r="A10" s="40"/>
      <c r="B10" s="41"/>
      <c r="C10" s="40"/>
      <c r="D10" s="40"/>
      <c r="E10" s="40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2.75" customHeight="1">
      <c r="A11" s="210" t="s">
        <v>158</v>
      </c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39"/>
      <c r="N11" s="39"/>
    </row>
    <row r="12" spans="1:14" ht="6" customHeight="1">
      <c r="A12" s="209"/>
      <c r="B12" s="199"/>
      <c r="C12" s="199"/>
      <c r="D12" s="199"/>
      <c r="E12" s="199"/>
      <c r="F12" s="199"/>
      <c r="G12" s="13"/>
      <c r="H12" s="13"/>
      <c r="I12" s="13"/>
      <c r="J12" s="13"/>
      <c r="K12" s="13"/>
      <c r="L12" s="13"/>
      <c r="M12" s="13"/>
      <c r="N12" s="13"/>
    </row>
    <row r="13" spans="1:14" ht="12.75" customHeight="1">
      <c r="A13" s="16">
        <v>1</v>
      </c>
      <c r="B13" s="200" t="s">
        <v>72</v>
      </c>
      <c r="C13" s="199"/>
      <c r="D13" s="38"/>
      <c r="E13" s="38"/>
      <c r="F13" s="38"/>
      <c r="G13" s="13"/>
      <c r="H13" s="13"/>
      <c r="I13" s="13"/>
      <c r="J13" s="13"/>
      <c r="K13" s="13"/>
      <c r="L13" s="13"/>
      <c r="M13" s="13"/>
      <c r="N13" s="13"/>
    </row>
    <row r="14" spans="1:14" ht="12.75" customHeight="1">
      <c r="A14" s="16"/>
      <c r="B14" s="200" t="s">
        <v>73</v>
      </c>
      <c r="C14" s="199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2.75" customHeight="1">
      <c r="A15" s="16"/>
      <c r="B15" s="19" t="s">
        <v>74</v>
      </c>
      <c r="C15" s="15" t="s">
        <v>75</v>
      </c>
      <c r="D15" s="19">
        <f>1299970479/L1</f>
        <v>129.99704790000001</v>
      </c>
      <c r="E15" s="19">
        <f>2414875798.8/L1</f>
        <v>241.48757988000003</v>
      </c>
      <c r="F15" s="19">
        <f>2104965615.95/$L$1</f>
        <v>210.496561595</v>
      </c>
      <c r="G15" s="19">
        <f>3150000000/L1</f>
        <v>315</v>
      </c>
      <c r="H15" s="19">
        <f t="shared" ref="H15:L18" si="1">ROUND(G15*1.1,2)</f>
        <v>346.5</v>
      </c>
      <c r="I15" s="19">
        <f t="shared" si="1"/>
        <v>381.15</v>
      </c>
      <c r="J15" s="19">
        <f t="shared" si="1"/>
        <v>419.27</v>
      </c>
      <c r="K15" s="19">
        <f t="shared" si="1"/>
        <v>461.2</v>
      </c>
      <c r="L15" s="19">
        <f t="shared" si="1"/>
        <v>507.32</v>
      </c>
      <c r="M15" s="13"/>
      <c r="N15" s="13"/>
    </row>
    <row r="16" spans="1:14" ht="12.75" customHeight="1">
      <c r="A16" s="16"/>
      <c r="B16" s="19" t="s">
        <v>76</v>
      </c>
      <c r="C16" s="15" t="s">
        <v>77</v>
      </c>
      <c r="D16" s="19">
        <f>229070798/L1</f>
        <v>22.907079800000002</v>
      </c>
      <c r="E16" s="19">
        <f>218758045/L1</f>
        <v>21.875804500000001</v>
      </c>
      <c r="F16" s="19">
        <f>253363395.5/L1</f>
        <v>25.336339550000002</v>
      </c>
      <c r="G16" s="19">
        <f>ROUND(G15*0.111111111111111,0)</f>
        <v>35</v>
      </c>
      <c r="H16" s="19">
        <f t="shared" si="1"/>
        <v>38.5</v>
      </c>
      <c r="I16" s="19">
        <f t="shared" si="1"/>
        <v>42.35</v>
      </c>
      <c r="J16" s="19">
        <f t="shared" si="1"/>
        <v>46.59</v>
      </c>
      <c r="K16" s="19">
        <f t="shared" si="1"/>
        <v>51.25</v>
      </c>
      <c r="L16" s="19">
        <f t="shared" si="1"/>
        <v>56.38</v>
      </c>
      <c r="M16" s="13"/>
      <c r="N16" s="13"/>
    </row>
    <row r="17" spans="1:14" ht="12.75" customHeight="1">
      <c r="A17" s="16"/>
      <c r="B17" s="19" t="s">
        <v>78</v>
      </c>
      <c r="C17" s="15" t="s">
        <v>79</v>
      </c>
      <c r="D17" s="19">
        <f>0/L1</f>
        <v>0</v>
      </c>
      <c r="E17" s="19">
        <f>409773/L1</f>
        <v>4.0977300000000001E-2</v>
      </c>
      <c r="F17" s="19">
        <f>838038.6/L1</f>
        <v>8.3803859999999994E-2</v>
      </c>
      <c r="G17" s="19">
        <f>1000000/L1</f>
        <v>0.1</v>
      </c>
      <c r="H17" s="19">
        <f t="shared" si="1"/>
        <v>0.11</v>
      </c>
      <c r="I17" s="19">
        <f t="shared" si="1"/>
        <v>0.12</v>
      </c>
      <c r="J17" s="19">
        <f t="shared" si="1"/>
        <v>0.13</v>
      </c>
      <c r="K17" s="19">
        <f t="shared" si="1"/>
        <v>0.14000000000000001</v>
      </c>
      <c r="L17" s="19">
        <f t="shared" si="1"/>
        <v>0.15</v>
      </c>
      <c r="M17" s="13"/>
      <c r="N17" s="13"/>
    </row>
    <row r="18" spans="1:14" ht="12.75" customHeight="1">
      <c r="A18" s="16"/>
      <c r="B18" s="19" t="s">
        <v>80</v>
      </c>
      <c r="C18" s="15" t="s">
        <v>81</v>
      </c>
      <c r="D18" s="19">
        <f>439726.7/L1</f>
        <v>4.3972669999999998E-2</v>
      </c>
      <c r="E18" s="19">
        <f>1272097.89/L1</f>
        <v>0.12720978899999999</v>
      </c>
      <c r="F18" s="19">
        <f>0/$L$1</f>
        <v>0</v>
      </c>
      <c r="G18" s="19">
        <v>0</v>
      </c>
      <c r="H18" s="19">
        <f t="shared" si="1"/>
        <v>0</v>
      </c>
      <c r="I18" s="19">
        <f t="shared" si="1"/>
        <v>0</v>
      </c>
      <c r="J18" s="19">
        <f t="shared" si="1"/>
        <v>0</v>
      </c>
      <c r="K18" s="19">
        <f t="shared" si="1"/>
        <v>0</v>
      </c>
      <c r="L18" s="19">
        <f t="shared" si="1"/>
        <v>0</v>
      </c>
      <c r="M18" s="13"/>
      <c r="N18" s="13"/>
    </row>
    <row r="19" spans="1:14" ht="12.75" customHeight="1">
      <c r="A19" s="16"/>
      <c r="B19" s="19" t="s">
        <v>82</v>
      </c>
      <c r="C19" s="15" t="s">
        <v>83</v>
      </c>
      <c r="D19" s="32">
        <f>0/$L$1</f>
        <v>0</v>
      </c>
      <c r="E19" s="32">
        <f>0/$L$1</f>
        <v>0</v>
      </c>
      <c r="F19" s="32">
        <f>0/$L$1</f>
        <v>0</v>
      </c>
      <c r="G19" s="32">
        <f>0/$L$1</f>
        <v>0</v>
      </c>
      <c r="H19" s="32">
        <f>6000000000/L1</f>
        <v>600</v>
      </c>
      <c r="I19" s="32">
        <f>H19*1.05</f>
        <v>630</v>
      </c>
      <c r="J19" s="32">
        <f>I19*1.05</f>
        <v>661.5</v>
      </c>
      <c r="K19" s="32">
        <f>J19*1.05</f>
        <v>694.57500000000005</v>
      </c>
      <c r="L19" s="32">
        <f>K19*1.05</f>
        <v>729.30375000000004</v>
      </c>
      <c r="M19" s="13"/>
      <c r="N19" s="13"/>
    </row>
    <row r="20" spans="1:14" ht="12.75" customHeight="1">
      <c r="A20" s="16"/>
      <c r="B20" s="19"/>
      <c r="C20" s="20" t="s">
        <v>159</v>
      </c>
      <c r="D20" s="23">
        <f t="shared" ref="D20:L20" si="2">SUM(D15:D19)</f>
        <v>152.94810036999999</v>
      </c>
      <c r="E20" s="23">
        <f t="shared" si="2"/>
        <v>263.53157146900003</v>
      </c>
      <c r="F20" s="23">
        <f t="shared" si="2"/>
        <v>235.91670500499998</v>
      </c>
      <c r="G20" s="23">
        <f t="shared" si="2"/>
        <v>350.1</v>
      </c>
      <c r="H20" s="23">
        <f t="shared" si="2"/>
        <v>985.11</v>
      </c>
      <c r="I20" s="23">
        <f t="shared" si="2"/>
        <v>1053.6199999999999</v>
      </c>
      <c r="J20" s="23">
        <f t="shared" si="2"/>
        <v>1127.49</v>
      </c>
      <c r="K20" s="23">
        <f t="shared" si="2"/>
        <v>1207.165</v>
      </c>
      <c r="L20" s="23">
        <f t="shared" si="2"/>
        <v>1293.1537499999999</v>
      </c>
      <c r="M20" s="13"/>
      <c r="N20" s="13"/>
    </row>
    <row r="21" spans="1:14" ht="12.75" customHeight="1">
      <c r="A21" s="16"/>
      <c r="B21" s="200" t="s">
        <v>84</v>
      </c>
      <c r="C21" s="199"/>
      <c r="D21" s="20"/>
      <c r="E21" s="20"/>
      <c r="F21" s="20"/>
      <c r="G21" s="20"/>
      <c r="H21" s="20"/>
      <c r="I21" s="20"/>
      <c r="J21" s="20"/>
      <c r="K21" s="20"/>
      <c r="L21" s="20"/>
      <c r="M21" s="13"/>
      <c r="N21" s="13"/>
    </row>
    <row r="22" spans="1:14" ht="12.75" customHeight="1">
      <c r="A22" s="16"/>
      <c r="B22" s="19" t="s">
        <v>74</v>
      </c>
      <c r="C22" s="37" t="s">
        <v>85</v>
      </c>
      <c r="D22" s="19">
        <f>0/$L$1</f>
        <v>0</v>
      </c>
      <c r="E22" s="19">
        <f>19750512.93/$L$1</f>
        <v>1.9750512929999999</v>
      </c>
      <c r="F22" s="19">
        <f>2872774.14/L1</f>
        <v>0.28727741400000001</v>
      </c>
      <c r="G22" s="19">
        <f t="shared" ref="G22:L24" si="3">0/$L$1</f>
        <v>0</v>
      </c>
      <c r="H22" s="19">
        <f t="shared" si="3"/>
        <v>0</v>
      </c>
      <c r="I22" s="19">
        <f t="shared" si="3"/>
        <v>0</v>
      </c>
      <c r="J22" s="19">
        <f t="shared" si="3"/>
        <v>0</v>
      </c>
      <c r="K22" s="19">
        <f t="shared" si="3"/>
        <v>0</v>
      </c>
      <c r="L22" s="19">
        <f t="shared" si="3"/>
        <v>0</v>
      </c>
      <c r="M22" s="13"/>
      <c r="N22" s="13"/>
    </row>
    <row r="23" spans="1:14" ht="12.75" customHeight="1">
      <c r="A23" s="16"/>
      <c r="B23" s="19" t="s">
        <v>76</v>
      </c>
      <c r="C23" s="37" t="s">
        <v>86</v>
      </c>
      <c r="D23" s="19">
        <f>0/$L$1</f>
        <v>0</v>
      </c>
      <c r="E23" s="19">
        <f>625829.52/$L$1</f>
        <v>6.2582951999999997E-2</v>
      </c>
      <c r="F23" s="19">
        <f>0/$L$1</f>
        <v>0</v>
      </c>
      <c r="G23" s="19">
        <f t="shared" si="3"/>
        <v>0</v>
      </c>
      <c r="H23" s="19">
        <f t="shared" si="3"/>
        <v>0</v>
      </c>
      <c r="I23" s="19">
        <f t="shared" si="3"/>
        <v>0</v>
      </c>
      <c r="J23" s="19">
        <f t="shared" si="3"/>
        <v>0</v>
      </c>
      <c r="K23" s="19">
        <f t="shared" si="3"/>
        <v>0</v>
      </c>
      <c r="L23" s="19">
        <f t="shared" si="3"/>
        <v>0</v>
      </c>
      <c r="M23" s="13"/>
      <c r="N23" s="13"/>
    </row>
    <row r="24" spans="1:14" ht="12.75" customHeight="1">
      <c r="A24" s="16"/>
      <c r="B24" s="19" t="s">
        <v>78</v>
      </c>
      <c r="C24" s="37" t="s">
        <v>87</v>
      </c>
      <c r="D24" s="19">
        <f>5418610.91/$L$1</f>
        <v>0.54186109100000002</v>
      </c>
      <c r="E24" s="19">
        <f>0/$L$1</f>
        <v>0</v>
      </c>
      <c r="F24" s="19">
        <f>0/$L$1</f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3"/>
      <c r="N24" s="13"/>
    </row>
    <row r="25" spans="1:14" ht="12.75" customHeight="1">
      <c r="A25" s="16"/>
      <c r="B25" s="19"/>
      <c r="C25" s="20" t="s">
        <v>160</v>
      </c>
      <c r="D25" s="23">
        <f t="shared" ref="D25:L25" si="4">SUM(D21:D24)</f>
        <v>0.54186109100000002</v>
      </c>
      <c r="E25" s="23">
        <f t="shared" si="4"/>
        <v>2.037634245</v>
      </c>
      <c r="F25" s="23">
        <f t="shared" si="4"/>
        <v>0.28727741400000001</v>
      </c>
      <c r="G25" s="23">
        <f t="shared" si="4"/>
        <v>0</v>
      </c>
      <c r="H25" s="23">
        <f t="shared" si="4"/>
        <v>0</v>
      </c>
      <c r="I25" s="23">
        <f t="shared" si="4"/>
        <v>0</v>
      </c>
      <c r="J25" s="23">
        <f t="shared" si="4"/>
        <v>0</v>
      </c>
      <c r="K25" s="23">
        <f t="shared" si="4"/>
        <v>0</v>
      </c>
      <c r="L25" s="23">
        <f t="shared" si="4"/>
        <v>0</v>
      </c>
      <c r="M25" s="13"/>
      <c r="N25" s="13"/>
    </row>
    <row r="26" spans="1:14" ht="12.75" customHeight="1">
      <c r="A26" s="16"/>
      <c r="B26" s="200" t="s">
        <v>88</v>
      </c>
      <c r="C26" s="199"/>
      <c r="D26" s="19">
        <f>46115473.8/$L$1</f>
        <v>4.6115473799999993</v>
      </c>
      <c r="E26" s="19">
        <f>65901724.04/L1</f>
        <v>6.5901724039999996</v>
      </c>
      <c r="F26" s="19">
        <f>110609926.09/$L$1</f>
        <v>11.060992608999999</v>
      </c>
      <c r="G26" s="19">
        <f t="shared" ref="G26:L26" si="5">ROUND(F26*SUM(G15:G18)/SUM(F15:F18),2)</f>
        <v>16.41</v>
      </c>
      <c r="H26" s="19">
        <f t="shared" si="5"/>
        <v>18.05</v>
      </c>
      <c r="I26" s="19">
        <f t="shared" si="5"/>
        <v>19.850000000000001</v>
      </c>
      <c r="J26" s="19">
        <f t="shared" si="5"/>
        <v>21.84</v>
      </c>
      <c r="K26" s="19">
        <f t="shared" si="5"/>
        <v>24.02</v>
      </c>
      <c r="L26" s="19">
        <f t="shared" si="5"/>
        <v>26.42</v>
      </c>
      <c r="M26" s="13"/>
      <c r="N26" s="13"/>
    </row>
    <row r="27" spans="1:14" ht="12.75" customHeight="1">
      <c r="A27" s="16"/>
      <c r="B27" s="200" t="s">
        <v>89</v>
      </c>
      <c r="C27" s="199"/>
      <c r="D27" s="20">
        <f t="shared" ref="D27:L27" si="6">D25+D20+D26</f>
        <v>158.10150884099997</v>
      </c>
      <c r="E27" s="20">
        <f t="shared" si="6"/>
        <v>272.15937811800001</v>
      </c>
      <c r="F27" s="20">
        <f t="shared" si="6"/>
        <v>247.26497502799998</v>
      </c>
      <c r="G27" s="20">
        <f t="shared" si="6"/>
        <v>366.51000000000005</v>
      </c>
      <c r="H27" s="20">
        <f t="shared" si="6"/>
        <v>1003.16</v>
      </c>
      <c r="I27" s="20">
        <f t="shared" si="6"/>
        <v>1073.4699999999998</v>
      </c>
      <c r="J27" s="20">
        <f t="shared" si="6"/>
        <v>1149.33</v>
      </c>
      <c r="K27" s="20">
        <f t="shared" si="6"/>
        <v>1231.1849999999999</v>
      </c>
      <c r="L27" s="20">
        <f t="shared" si="6"/>
        <v>1319.57375</v>
      </c>
      <c r="M27" s="13"/>
      <c r="N27" s="13"/>
    </row>
    <row r="28" spans="1:14" ht="12.75" customHeight="1">
      <c r="A28" s="16"/>
      <c r="B28" s="37" t="s">
        <v>161</v>
      </c>
      <c r="C28" s="37"/>
      <c r="D28" s="19">
        <f>728430.11/L1</f>
        <v>7.2843010999999999E-2</v>
      </c>
      <c r="E28" s="19">
        <f>166068639.83/L1</f>
        <v>16.606863983</v>
      </c>
      <c r="F28" s="19">
        <f>113523497.92/$L$1</f>
        <v>11.352349792</v>
      </c>
      <c r="G28" s="19">
        <f t="shared" ref="G28:L28" si="7">F28*G27/F27</f>
        <v>16.827088922702305</v>
      </c>
      <c r="H28" s="19">
        <f t="shared" si="7"/>
        <v>46.056758406859416</v>
      </c>
      <c r="I28" s="19">
        <f t="shared" si="7"/>
        <v>49.284808452302094</v>
      </c>
      <c r="J28" s="19">
        <f t="shared" si="7"/>
        <v>52.767668307902753</v>
      </c>
      <c r="K28" s="19">
        <f t="shared" si="7"/>
        <v>56.525768670151521</v>
      </c>
      <c r="L28" s="19">
        <f t="shared" si="7"/>
        <v>60.583844455304735</v>
      </c>
      <c r="M28" s="13"/>
      <c r="N28" s="13"/>
    </row>
    <row r="29" spans="1:14" ht="12.75" customHeight="1">
      <c r="A29" s="16"/>
      <c r="B29" s="19"/>
      <c r="C29" s="20" t="s">
        <v>162</v>
      </c>
      <c r="D29" s="20">
        <f t="shared" ref="D29:L29" si="8">D27-D28</f>
        <v>158.02866582999997</v>
      </c>
      <c r="E29" s="20">
        <f t="shared" si="8"/>
        <v>255.552514135</v>
      </c>
      <c r="F29" s="20">
        <f t="shared" si="8"/>
        <v>235.91262523599997</v>
      </c>
      <c r="G29" s="20">
        <f t="shared" si="8"/>
        <v>349.68291107729772</v>
      </c>
      <c r="H29" s="20">
        <f t="shared" si="8"/>
        <v>957.10324159314052</v>
      </c>
      <c r="I29" s="20">
        <f t="shared" si="8"/>
        <v>1024.1851915476977</v>
      </c>
      <c r="J29" s="20">
        <f t="shared" si="8"/>
        <v>1096.5623316920971</v>
      </c>
      <c r="K29" s="20">
        <f t="shared" si="8"/>
        <v>1174.6592313298484</v>
      </c>
      <c r="L29" s="20">
        <f t="shared" si="8"/>
        <v>1258.9899055446954</v>
      </c>
      <c r="M29" s="13"/>
      <c r="N29" s="13"/>
    </row>
    <row r="30" spans="1:14" ht="7.5" customHeight="1">
      <c r="A30" s="209"/>
      <c r="B30" s="199"/>
      <c r="C30" s="199"/>
      <c r="D30" s="19"/>
      <c r="E30" s="19"/>
      <c r="F30" s="19"/>
      <c r="G30" s="13"/>
      <c r="H30" s="13"/>
      <c r="I30" s="13"/>
      <c r="J30" s="13"/>
      <c r="K30" s="13"/>
      <c r="L30" s="13"/>
      <c r="M30" s="13"/>
      <c r="N30" s="13"/>
    </row>
    <row r="31" spans="1:14" ht="12.75" customHeight="1">
      <c r="A31" s="16">
        <v>2</v>
      </c>
      <c r="B31" s="215" t="s">
        <v>163</v>
      </c>
      <c r="C31" s="199"/>
      <c r="D31" s="19"/>
      <c r="E31" s="19"/>
      <c r="F31" s="19"/>
      <c r="G31" s="13"/>
      <c r="H31" s="13"/>
      <c r="I31" s="13"/>
      <c r="J31" s="13"/>
      <c r="K31" s="13"/>
      <c r="L31" s="13"/>
      <c r="M31" s="13"/>
      <c r="N31" s="13"/>
    </row>
    <row r="32" spans="1:14" ht="12.75" customHeight="1">
      <c r="A32" s="13"/>
      <c r="B32" s="16" t="s">
        <v>164</v>
      </c>
      <c r="C32" s="15" t="s">
        <v>165</v>
      </c>
      <c r="D32" s="19">
        <f>0/L1</f>
        <v>0</v>
      </c>
      <c r="E32" s="19">
        <f>215592.61/L1</f>
        <v>2.1559261E-2</v>
      </c>
      <c r="F32" s="19">
        <f>631547.8/L1</f>
        <v>6.3154780000000008E-2</v>
      </c>
      <c r="G32" s="19">
        <f t="shared" ref="G32:L32" si="9">500000/$L$1</f>
        <v>0.05</v>
      </c>
      <c r="H32" s="19">
        <f t="shared" si="9"/>
        <v>0.05</v>
      </c>
      <c r="I32" s="19">
        <f t="shared" si="9"/>
        <v>0.05</v>
      </c>
      <c r="J32" s="19">
        <f t="shared" si="9"/>
        <v>0.05</v>
      </c>
      <c r="K32" s="19">
        <f t="shared" si="9"/>
        <v>0.05</v>
      </c>
      <c r="L32" s="19">
        <f t="shared" si="9"/>
        <v>0.05</v>
      </c>
      <c r="M32" s="13"/>
      <c r="N32" s="13"/>
    </row>
    <row r="33" spans="1:14" ht="12.75" customHeight="1">
      <c r="A33" s="13"/>
      <c r="B33" s="16" t="s">
        <v>166</v>
      </c>
      <c r="C33" s="15" t="s">
        <v>167</v>
      </c>
      <c r="D33" s="19">
        <f>4602455.6/$L$1</f>
        <v>0.46024555999999994</v>
      </c>
      <c r="E33" s="19"/>
      <c r="F33" s="19">
        <f>4245720.24/L1</f>
        <v>0.42457202400000005</v>
      </c>
      <c r="G33" s="19">
        <f t="shared" ref="G33:L33" si="10">1000000/$L$1</f>
        <v>0.1</v>
      </c>
      <c r="H33" s="19">
        <f t="shared" si="10"/>
        <v>0.1</v>
      </c>
      <c r="I33" s="19">
        <f t="shared" si="10"/>
        <v>0.1</v>
      </c>
      <c r="J33" s="19">
        <f t="shared" si="10"/>
        <v>0.1</v>
      </c>
      <c r="K33" s="19">
        <f t="shared" si="10"/>
        <v>0.1</v>
      </c>
      <c r="L33" s="19">
        <f t="shared" si="10"/>
        <v>0.1</v>
      </c>
      <c r="M33" s="13"/>
      <c r="N33" s="13"/>
    </row>
    <row r="34" spans="1:14" ht="12.75" customHeight="1">
      <c r="A34" s="13"/>
      <c r="B34" s="16" t="s">
        <v>168</v>
      </c>
      <c r="C34" s="15" t="s">
        <v>169</v>
      </c>
      <c r="D34" s="19">
        <f>3459393/$L$1</f>
        <v>0.34593930000000001</v>
      </c>
      <c r="E34" s="19">
        <f t="shared" ref="E34:L34" si="11">0/$L$1</f>
        <v>0</v>
      </c>
      <c r="F34" s="19">
        <f t="shared" si="11"/>
        <v>0</v>
      </c>
      <c r="G34" s="19">
        <f t="shared" si="11"/>
        <v>0</v>
      </c>
      <c r="H34" s="19">
        <f t="shared" si="11"/>
        <v>0</v>
      </c>
      <c r="I34" s="19">
        <f t="shared" si="11"/>
        <v>0</v>
      </c>
      <c r="J34" s="19">
        <f t="shared" si="11"/>
        <v>0</v>
      </c>
      <c r="K34" s="19">
        <f t="shared" si="11"/>
        <v>0</v>
      </c>
      <c r="L34" s="19">
        <f t="shared" si="11"/>
        <v>0</v>
      </c>
      <c r="M34" s="13"/>
      <c r="N34" s="13"/>
    </row>
    <row r="35" spans="1:14" ht="12.75" customHeight="1">
      <c r="A35" s="13"/>
      <c r="B35" s="16" t="s">
        <v>170</v>
      </c>
      <c r="C35" s="15" t="s">
        <v>171</v>
      </c>
      <c r="D35" s="19">
        <f>81600000/$L$1</f>
        <v>8.16</v>
      </c>
      <c r="E35" s="19">
        <f>40100000/$L$1</f>
        <v>4.01</v>
      </c>
      <c r="F35" s="19">
        <f>700000/$L$1</f>
        <v>7.0000000000000007E-2</v>
      </c>
      <c r="G35" s="19">
        <f t="shared" ref="G35:L37" si="12">0/$L$1</f>
        <v>0</v>
      </c>
      <c r="H35" s="19">
        <f t="shared" si="12"/>
        <v>0</v>
      </c>
      <c r="I35" s="19">
        <f t="shared" si="12"/>
        <v>0</v>
      </c>
      <c r="J35" s="19">
        <f t="shared" si="12"/>
        <v>0</v>
      </c>
      <c r="K35" s="19">
        <f t="shared" si="12"/>
        <v>0</v>
      </c>
      <c r="L35" s="19">
        <f t="shared" si="12"/>
        <v>0</v>
      </c>
      <c r="M35" s="13"/>
      <c r="N35" s="13"/>
    </row>
    <row r="36" spans="1:14" ht="12.75" customHeight="1">
      <c r="A36" s="13"/>
      <c r="B36" s="16" t="s">
        <v>172</v>
      </c>
      <c r="C36" s="15" t="s">
        <v>173</v>
      </c>
      <c r="D36" s="19">
        <f>233872.47/$L$1</f>
        <v>2.3387247E-2</v>
      </c>
      <c r="E36" s="19">
        <f>807/$L$1</f>
        <v>8.0699999999999996E-5</v>
      </c>
      <c r="F36" s="19">
        <f>38905.6/$L$1</f>
        <v>3.8905599999999999E-3</v>
      </c>
      <c r="G36" s="19">
        <f t="shared" si="12"/>
        <v>0</v>
      </c>
      <c r="H36" s="19">
        <f t="shared" si="12"/>
        <v>0</v>
      </c>
      <c r="I36" s="19">
        <f t="shared" si="12"/>
        <v>0</v>
      </c>
      <c r="J36" s="19">
        <f t="shared" si="12"/>
        <v>0</v>
      </c>
      <c r="K36" s="19">
        <f t="shared" si="12"/>
        <v>0</v>
      </c>
      <c r="L36" s="19">
        <f t="shared" si="12"/>
        <v>0</v>
      </c>
      <c r="M36" s="13"/>
      <c r="N36" s="13"/>
    </row>
    <row r="37" spans="1:14" ht="12.75" customHeight="1">
      <c r="A37" s="16"/>
      <c r="B37" s="16" t="s">
        <v>174</v>
      </c>
      <c r="C37" s="15" t="s">
        <v>175</v>
      </c>
      <c r="D37" s="19">
        <f>2981039.81/$L$1</f>
        <v>0.29810398100000002</v>
      </c>
      <c r="E37" s="19">
        <f>0/$L$1</f>
        <v>0</v>
      </c>
      <c r="F37" s="19">
        <f>(1326488+7896399+5.35)/$L$1</f>
        <v>0.92228923499999993</v>
      </c>
      <c r="G37" s="19">
        <f t="shared" si="12"/>
        <v>0</v>
      </c>
      <c r="H37" s="19">
        <f t="shared" si="12"/>
        <v>0</v>
      </c>
      <c r="I37" s="19">
        <f t="shared" si="12"/>
        <v>0</v>
      </c>
      <c r="J37" s="19">
        <f t="shared" si="12"/>
        <v>0</v>
      </c>
      <c r="K37" s="19">
        <f t="shared" si="12"/>
        <v>0</v>
      </c>
      <c r="L37" s="19">
        <f t="shared" si="12"/>
        <v>0</v>
      </c>
      <c r="M37" s="13"/>
      <c r="N37" s="13"/>
    </row>
    <row r="38" spans="1:14" ht="12.75" customHeight="1">
      <c r="A38" s="16"/>
      <c r="B38" s="16"/>
      <c r="C38" s="15"/>
      <c r="D38" s="23">
        <f t="shared" ref="D38:L38" si="13">SUM(D32:D37)</f>
        <v>9.2876760880000013</v>
      </c>
      <c r="E38" s="23">
        <f t="shared" si="13"/>
        <v>4.0316399609999998</v>
      </c>
      <c r="F38" s="23">
        <f t="shared" si="13"/>
        <v>1.483906599</v>
      </c>
      <c r="G38" s="23">
        <f t="shared" si="13"/>
        <v>0.15000000000000002</v>
      </c>
      <c r="H38" s="23">
        <f t="shared" si="13"/>
        <v>0.15000000000000002</v>
      </c>
      <c r="I38" s="23">
        <f t="shared" si="13"/>
        <v>0.15000000000000002</v>
      </c>
      <c r="J38" s="23">
        <f t="shared" si="13"/>
        <v>0.15000000000000002</v>
      </c>
      <c r="K38" s="23">
        <f t="shared" si="13"/>
        <v>0.15000000000000002</v>
      </c>
      <c r="L38" s="23">
        <f t="shared" si="13"/>
        <v>0.15000000000000002</v>
      </c>
      <c r="M38" s="13"/>
      <c r="N38" s="13"/>
    </row>
    <row r="39" spans="1:14" ht="12.75" customHeight="1">
      <c r="A39" s="16">
        <v>3</v>
      </c>
      <c r="B39" s="16"/>
      <c r="C39" s="15" t="s">
        <v>176</v>
      </c>
      <c r="D39" s="20">
        <f t="shared" ref="D39:L39" si="14">D38+D29</f>
        <v>167.31634191799998</v>
      </c>
      <c r="E39" s="20">
        <f t="shared" si="14"/>
        <v>259.58415409600002</v>
      </c>
      <c r="F39" s="20">
        <f t="shared" si="14"/>
        <v>237.39653183499996</v>
      </c>
      <c r="G39" s="20">
        <f t="shared" si="14"/>
        <v>349.83291107729769</v>
      </c>
      <c r="H39" s="20">
        <f t="shared" si="14"/>
        <v>957.2532415931405</v>
      </c>
      <c r="I39" s="20">
        <f t="shared" si="14"/>
        <v>1024.3351915476978</v>
      </c>
      <c r="J39" s="20">
        <f t="shared" si="14"/>
        <v>1096.7123316920972</v>
      </c>
      <c r="K39" s="20">
        <f t="shared" si="14"/>
        <v>1174.8092313298484</v>
      </c>
      <c r="L39" s="20">
        <f t="shared" si="14"/>
        <v>1259.1399055446955</v>
      </c>
      <c r="M39" s="13"/>
      <c r="N39" s="13"/>
    </row>
    <row r="40" spans="1:14" ht="12.75" customHeight="1">
      <c r="A40" s="16">
        <v>4</v>
      </c>
      <c r="B40" s="16"/>
      <c r="C40" s="15" t="s">
        <v>177</v>
      </c>
      <c r="D40" s="19"/>
      <c r="E40" s="19"/>
      <c r="F40" s="19"/>
      <c r="G40" s="13"/>
      <c r="H40" s="13"/>
      <c r="I40" s="13"/>
      <c r="J40" s="13"/>
      <c r="K40" s="13"/>
      <c r="L40" s="13"/>
      <c r="M40" s="13"/>
      <c r="N40" s="13"/>
    </row>
    <row r="41" spans="1:14" ht="12.75" customHeight="1">
      <c r="A41" s="16"/>
      <c r="B41" s="16"/>
      <c r="C41" s="15" t="s">
        <v>178</v>
      </c>
      <c r="D41" s="36"/>
      <c r="E41" s="36">
        <f t="shared" ref="E41:L41" si="15">(E39-D39)/D39</f>
        <v>0.55145726424750274</v>
      </c>
      <c r="F41" s="36">
        <f t="shared" si="15"/>
        <v>-8.5473715983428553E-2</v>
      </c>
      <c r="G41" s="36">
        <f t="shared" si="15"/>
        <v>0.47362266994045849</v>
      </c>
      <c r="H41" s="36">
        <f t="shared" si="15"/>
        <v>1.7363155703255992</v>
      </c>
      <c r="I41" s="36">
        <f t="shared" si="15"/>
        <v>7.0077537520702435E-2</v>
      </c>
      <c r="J41" s="36">
        <f t="shared" si="15"/>
        <v>7.0657672158117177E-2</v>
      </c>
      <c r="K41" s="36">
        <f t="shared" si="15"/>
        <v>7.1210013219471111E-2</v>
      </c>
      <c r="L41" s="36">
        <f t="shared" si="15"/>
        <v>7.1782440898414845E-2</v>
      </c>
      <c r="M41" s="13"/>
      <c r="N41" s="13"/>
    </row>
    <row r="42" spans="1:14" ht="15.75" customHeight="1">
      <c r="A42" s="16">
        <v>5</v>
      </c>
      <c r="B42" s="35" t="s">
        <v>179</v>
      </c>
      <c r="C42" s="15"/>
      <c r="D42" s="34"/>
      <c r="E42" s="34"/>
      <c r="F42" s="34"/>
      <c r="G42" s="34"/>
      <c r="H42" s="34"/>
      <c r="I42" s="34"/>
      <c r="J42" s="34"/>
      <c r="K42" s="34"/>
      <c r="L42" s="33"/>
      <c r="M42" s="33"/>
      <c r="N42" s="33"/>
    </row>
    <row r="43" spans="1:14" ht="12.75" customHeight="1">
      <c r="A43" s="16"/>
      <c r="B43" s="16" t="s">
        <v>74</v>
      </c>
      <c r="C43" s="15" t="s">
        <v>98</v>
      </c>
      <c r="D43" s="19">
        <f>1491591886.5/$L$1</f>
        <v>149.15918865</v>
      </c>
      <c r="E43" s="19">
        <f>2026988750.82/$L$1</f>
        <v>202.698875082</v>
      </c>
      <c r="F43" s="19">
        <f>2199369361.47/$L$1</f>
        <v>219.93693614699998</v>
      </c>
      <c r="G43" s="19">
        <f>G20*0.805</f>
        <v>281.83050000000003</v>
      </c>
      <c r="H43" s="19">
        <f>ROUND(0.805*SUM(H15:H18),2)+(H19*0.77)</f>
        <v>772.01</v>
      </c>
      <c r="I43" s="19">
        <f>ROUND(0.73*SUM(I15:I18),2)+(I19*0.71)</f>
        <v>756.54</v>
      </c>
      <c r="J43" s="19">
        <f>ROUND(0.73*SUM(J15:J18),2)+(J19*0.722)</f>
        <v>817.77300000000002</v>
      </c>
      <c r="K43" s="19">
        <f>ROUND(0.73*SUM(K15:K18),2)+(K19*0.732)</f>
        <v>882.61889999999994</v>
      </c>
      <c r="L43" s="19">
        <f>ROUND(0.73*SUM(L15:L18),2)+(L19*0.742)</f>
        <v>952.75338250000004</v>
      </c>
      <c r="M43" s="13"/>
      <c r="N43" s="13"/>
    </row>
    <row r="44" spans="1:14" ht="12.75" customHeight="1">
      <c r="A44" s="16"/>
      <c r="B44" s="16" t="s">
        <v>76</v>
      </c>
      <c r="C44" s="15" t="s">
        <v>99</v>
      </c>
      <c r="D44" s="19">
        <f t="shared" ref="D44:L44" si="16">0/$L$1</f>
        <v>0</v>
      </c>
      <c r="E44" s="19">
        <f t="shared" si="16"/>
        <v>0</v>
      </c>
      <c r="F44" s="19">
        <f t="shared" si="16"/>
        <v>0</v>
      </c>
      <c r="G44" s="19">
        <f t="shared" si="16"/>
        <v>0</v>
      </c>
      <c r="H44" s="19">
        <f t="shared" si="16"/>
        <v>0</v>
      </c>
      <c r="I44" s="19">
        <f t="shared" si="16"/>
        <v>0</v>
      </c>
      <c r="J44" s="19">
        <f t="shared" si="16"/>
        <v>0</v>
      </c>
      <c r="K44" s="19">
        <f t="shared" si="16"/>
        <v>0</v>
      </c>
      <c r="L44" s="19">
        <f t="shared" si="16"/>
        <v>0</v>
      </c>
      <c r="M44" s="13"/>
      <c r="N44" s="13"/>
    </row>
    <row r="45" spans="1:14" ht="15.75" customHeight="1">
      <c r="A45" s="16"/>
      <c r="B45" s="16" t="s">
        <v>78</v>
      </c>
      <c r="C45" s="15" t="s">
        <v>100</v>
      </c>
      <c r="D45" s="19">
        <f>-244497557.37/$L$1</f>
        <v>-24.449755737</v>
      </c>
      <c r="E45" s="19">
        <f>8684807.45/$L$1</f>
        <v>0.86848074499999994</v>
      </c>
      <c r="F45" s="19">
        <f>-476197595.31/$L$1</f>
        <v>-47.619759531</v>
      </c>
      <c r="G45" s="19">
        <f t="shared" ref="G45:L45" si="17">(F112-G112)</f>
        <v>-25.109292377000003</v>
      </c>
      <c r="H45" s="19">
        <f t="shared" si="17"/>
        <v>-96.685000000000002</v>
      </c>
      <c r="I45" s="19">
        <f t="shared" si="17"/>
        <v>-21.75</v>
      </c>
      <c r="J45" s="19">
        <f t="shared" si="17"/>
        <v>-23.814999999999998</v>
      </c>
      <c r="K45" s="19">
        <f t="shared" si="17"/>
        <v>-26.056250000000034</v>
      </c>
      <c r="L45" s="19">
        <f t="shared" si="17"/>
        <v>-28.524062499999957</v>
      </c>
      <c r="M45" s="13"/>
      <c r="N45" s="13"/>
    </row>
    <row r="46" spans="1:14" ht="12.75" customHeight="1">
      <c r="A46" s="16"/>
      <c r="B46" s="16" t="s">
        <v>80</v>
      </c>
      <c r="C46" s="15" t="s">
        <v>101</v>
      </c>
      <c r="D46" s="19">
        <f>(71702559.62+4394000)/$L$1</f>
        <v>7.6096559620000006</v>
      </c>
      <c r="E46" s="19">
        <f>(107552637.45+5642989)/L1</f>
        <v>11.319562645</v>
      </c>
      <c r="F46" s="19">
        <f>(110643425.09+3036830)/$L$1</f>
        <v>11.368025509000001</v>
      </c>
      <c r="G46" s="19">
        <f t="shared" ref="G46:L46" si="18">ROUND(F46*G20/F20,2)</f>
        <v>16.87</v>
      </c>
      <c r="H46" s="19">
        <f t="shared" si="18"/>
        <v>47.47</v>
      </c>
      <c r="I46" s="19">
        <f t="shared" si="18"/>
        <v>50.77</v>
      </c>
      <c r="J46" s="19">
        <f t="shared" si="18"/>
        <v>54.33</v>
      </c>
      <c r="K46" s="19">
        <f t="shared" si="18"/>
        <v>58.17</v>
      </c>
      <c r="L46" s="19">
        <f t="shared" si="18"/>
        <v>62.31</v>
      </c>
      <c r="M46" s="13"/>
      <c r="N46" s="13"/>
    </row>
    <row r="47" spans="1:14" ht="12.75" customHeight="1">
      <c r="A47" s="16"/>
      <c r="B47" s="16" t="s">
        <v>82</v>
      </c>
      <c r="C47" s="15" t="s">
        <v>102</v>
      </c>
      <c r="D47" s="32">
        <f>96279680.53/L1</f>
        <v>9.627968053</v>
      </c>
      <c r="E47" s="32">
        <f>168397540/L1</f>
        <v>16.839753999999999</v>
      </c>
      <c r="F47" s="32">
        <f>141241671/$L$1</f>
        <v>14.124167099999999</v>
      </c>
      <c r="G47" s="32">
        <f>120000000/L1</f>
        <v>12</v>
      </c>
      <c r="H47" s="32">
        <f>(100000000)/$L$1+(380000000/$L$1)</f>
        <v>48</v>
      </c>
      <c r="I47" s="32">
        <f>ROUND(H47*0.875,2)</f>
        <v>42</v>
      </c>
      <c r="J47" s="32">
        <f>ROUND(I47*0.875,2)</f>
        <v>36.75</v>
      </c>
      <c r="K47" s="32">
        <f>ROUND(J47*0.875,2)</f>
        <v>32.159999999999997</v>
      </c>
      <c r="L47" s="32">
        <f>ROUND(K47*0.875,2)</f>
        <v>28.14</v>
      </c>
      <c r="M47" s="13"/>
      <c r="N47" s="13"/>
    </row>
    <row r="48" spans="1:14" ht="12.75" customHeight="1">
      <c r="A48" s="16"/>
      <c r="B48" s="16" t="s">
        <v>180</v>
      </c>
      <c r="C48" s="18" t="s">
        <v>181</v>
      </c>
      <c r="D48" s="20">
        <f t="shared" ref="D48:L48" si="19">SUM(D43:D47)</f>
        <v>141.94705692799999</v>
      </c>
      <c r="E48" s="20">
        <f t="shared" si="19"/>
        <v>231.72667247199999</v>
      </c>
      <c r="F48" s="20">
        <f t="shared" si="19"/>
        <v>197.80936922499998</v>
      </c>
      <c r="G48" s="20">
        <f t="shared" si="19"/>
        <v>285.59120762300006</v>
      </c>
      <c r="H48" s="20">
        <f t="shared" si="19"/>
        <v>770.79500000000007</v>
      </c>
      <c r="I48" s="20">
        <f t="shared" si="19"/>
        <v>827.56</v>
      </c>
      <c r="J48" s="20">
        <f t="shared" si="19"/>
        <v>885.03800000000012</v>
      </c>
      <c r="K48" s="20">
        <f t="shared" si="19"/>
        <v>946.89264999999978</v>
      </c>
      <c r="L48" s="20">
        <f t="shared" si="19"/>
        <v>1014.6793200000001</v>
      </c>
      <c r="M48" s="13"/>
      <c r="N48" s="13"/>
    </row>
    <row r="49" spans="1:14" ht="6.75" customHeight="1">
      <c r="A49" s="16"/>
      <c r="B49" s="16"/>
      <c r="C49" s="18"/>
      <c r="D49" s="20"/>
      <c r="E49" s="20"/>
      <c r="F49" s="20"/>
      <c r="G49" s="20"/>
      <c r="H49" s="20"/>
      <c r="I49" s="20"/>
      <c r="J49" s="20"/>
      <c r="K49" s="20"/>
      <c r="L49" s="20"/>
      <c r="M49" s="13"/>
      <c r="N49" s="13"/>
    </row>
    <row r="50" spans="1:14" ht="12.75" customHeight="1">
      <c r="A50" s="16">
        <v>6</v>
      </c>
      <c r="B50" s="16" t="s">
        <v>164</v>
      </c>
      <c r="C50" s="15" t="s">
        <v>103</v>
      </c>
      <c r="D50" s="19">
        <f>47148061/L1</f>
        <v>4.7148060999999997</v>
      </c>
      <c r="E50" s="19">
        <f>33111301/L1</f>
        <v>3.3111301000000002</v>
      </c>
      <c r="F50" s="19">
        <f>64781846/$L$1</f>
        <v>6.4781845999999996</v>
      </c>
      <c r="G50" s="19">
        <f>70000000/L1</f>
        <v>7</v>
      </c>
      <c r="H50" s="19">
        <f>100000000/L1</f>
        <v>10</v>
      </c>
      <c r="I50" s="19">
        <f>ROUND(H50*1.1,2)</f>
        <v>11</v>
      </c>
      <c r="J50" s="19">
        <f>ROUND(I50*1.1,2)</f>
        <v>12.1</v>
      </c>
      <c r="K50" s="19">
        <f>ROUND(J50*1.1,2)</f>
        <v>13.31</v>
      </c>
      <c r="L50" s="19">
        <f>ROUND(K50*1.1,2)</f>
        <v>14.64</v>
      </c>
      <c r="M50" s="13"/>
      <c r="N50" s="13"/>
    </row>
    <row r="51" spans="1:14" ht="12.75" customHeight="1">
      <c r="A51" s="13"/>
      <c r="B51" s="16" t="s">
        <v>166</v>
      </c>
      <c r="C51" s="15" t="s">
        <v>104</v>
      </c>
      <c r="D51" s="32">
        <f>(21263444.1)/L1</f>
        <v>2.1263444100000002</v>
      </c>
      <c r="E51" s="32">
        <f>27385034.14/L1</f>
        <v>2.7385034140000002</v>
      </c>
      <c r="F51" s="32">
        <f>30755255.28/$L$1</f>
        <v>3.075525528</v>
      </c>
      <c r="G51" s="32">
        <f>ROUND(F51*1.2,20)</f>
        <v>3.6906306336000001</v>
      </c>
      <c r="H51" s="32">
        <f>ROUND(G51*1.8,20)</f>
        <v>6.6431351404800001</v>
      </c>
      <c r="I51" s="32">
        <f>ROUND(H51*1.2,20)</f>
        <v>7.9717621685760003</v>
      </c>
      <c r="J51" s="32">
        <f>ROUND(I51*1.2,20)</f>
        <v>9.5661146022912007</v>
      </c>
      <c r="K51" s="32">
        <f>ROUND(J51*1.2,20)</f>
        <v>11.4793375227494</v>
      </c>
      <c r="L51" s="32">
        <f>ROUND(K51*1.2,20)</f>
        <v>13.7752050272993</v>
      </c>
      <c r="M51" s="13"/>
      <c r="N51" s="13"/>
    </row>
    <row r="52" spans="1:14" ht="12.75" customHeight="1">
      <c r="A52" s="13"/>
      <c r="B52" s="16"/>
      <c r="C52" s="15"/>
      <c r="D52" s="19">
        <f t="shared" ref="D52:L52" si="20">SUM(D50:D51)</f>
        <v>6.8411505100000003</v>
      </c>
      <c r="E52" s="19">
        <f t="shared" si="20"/>
        <v>6.0496335139999999</v>
      </c>
      <c r="F52" s="19">
        <f t="shared" si="20"/>
        <v>9.5537101279999987</v>
      </c>
      <c r="G52" s="19">
        <f t="shared" si="20"/>
        <v>10.6906306336</v>
      </c>
      <c r="H52" s="19">
        <f t="shared" si="20"/>
        <v>16.643135140479998</v>
      </c>
      <c r="I52" s="19">
        <f t="shared" si="20"/>
        <v>18.971762168575999</v>
      </c>
      <c r="J52" s="19">
        <f t="shared" si="20"/>
        <v>21.666114602291202</v>
      </c>
      <c r="K52" s="19">
        <f t="shared" si="20"/>
        <v>24.789337522749399</v>
      </c>
      <c r="L52" s="19">
        <f t="shared" si="20"/>
        <v>28.415205027299301</v>
      </c>
      <c r="M52" s="13"/>
      <c r="N52" s="13"/>
    </row>
    <row r="53" spans="1:14" ht="12.75" customHeight="1">
      <c r="A53" s="16">
        <v>7</v>
      </c>
      <c r="B53" s="16"/>
      <c r="C53" s="15" t="s">
        <v>182</v>
      </c>
      <c r="D53" s="20">
        <f t="shared" ref="D53:L53" si="21">D48+D52</f>
        <v>148.788207438</v>
      </c>
      <c r="E53" s="20">
        <f t="shared" si="21"/>
        <v>237.77630598599998</v>
      </c>
      <c r="F53" s="20">
        <f t="shared" si="21"/>
        <v>207.36307935299999</v>
      </c>
      <c r="G53" s="20">
        <f t="shared" si="21"/>
        <v>296.28183825660005</v>
      </c>
      <c r="H53" s="20">
        <f t="shared" si="21"/>
        <v>787.43813514048009</v>
      </c>
      <c r="I53" s="20">
        <f t="shared" si="21"/>
        <v>846.53176216857594</v>
      </c>
      <c r="J53" s="20">
        <f t="shared" si="21"/>
        <v>906.70411460229138</v>
      </c>
      <c r="K53" s="20">
        <f t="shared" si="21"/>
        <v>971.68198752274918</v>
      </c>
      <c r="L53" s="20">
        <f t="shared" si="21"/>
        <v>1043.0945250272994</v>
      </c>
      <c r="M53" s="13"/>
      <c r="N53" s="13"/>
    </row>
    <row r="54" spans="1:14" ht="12.75" customHeight="1">
      <c r="A54" s="16">
        <v>8</v>
      </c>
      <c r="B54" s="16"/>
      <c r="C54" s="15" t="s">
        <v>183</v>
      </c>
      <c r="D54" s="19">
        <f t="shared" ref="D54:L54" si="22">D39-D53</f>
        <v>18.528134479999977</v>
      </c>
      <c r="E54" s="19">
        <f t="shared" si="22"/>
        <v>21.807848110000037</v>
      </c>
      <c r="F54" s="19">
        <f t="shared" si="22"/>
        <v>30.033452481999973</v>
      </c>
      <c r="G54" s="19">
        <f t="shared" si="22"/>
        <v>53.551072820697641</v>
      </c>
      <c r="H54" s="19">
        <f t="shared" si="22"/>
        <v>169.81510645266042</v>
      </c>
      <c r="I54" s="19">
        <f t="shared" si="22"/>
        <v>177.80342937912189</v>
      </c>
      <c r="J54" s="19">
        <f t="shared" si="22"/>
        <v>190.00821708980584</v>
      </c>
      <c r="K54" s="19">
        <f t="shared" si="22"/>
        <v>203.12724380709926</v>
      </c>
      <c r="L54" s="19">
        <f t="shared" si="22"/>
        <v>216.0453805173961</v>
      </c>
      <c r="M54" s="13"/>
      <c r="N54" s="13"/>
    </row>
    <row r="55" spans="1:14" ht="12.75" customHeight="1">
      <c r="A55" s="16">
        <v>9</v>
      </c>
      <c r="B55" s="16"/>
      <c r="C55" s="15" t="s">
        <v>184</v>
      </c>
      <c r="D55" s="19">
        <f>94634149.1/L1</f>
        <v>9.4634149099999991</v>
      </c>
      <c r="E55" s="19">
        <f>105257852.93/L1</f>
        <v>10.525785293</v>
      </c>
      <c r="F55" s="19">
        <f>102527966.02/$L$1</f>
        <v>10.252796602</v>
      </c>
      <c r="G55" s="19">
        <f>90000000/L1</f>
        <v>9</v>
      </c>
      <c r="H55" s="19">
        <f>300000000/L1</f>
        <v>30</v>
      </c>
      <c r="I55" s="19">
        <f>ROUND(H55*0.9,20)</f>
        <v>27</v>
      </c>
      <c r="J55" s="19">
        <f>ROUND(I55*0.9,20)</f>
        <v>24.3</v>
      </c>
      <c r="K55" s="19">
        <f>ROUND(J55*0.9,20)</f>
        <v>21.87</v>
      </c>
      <c r="L55" s="19">
        <f>ROUND(K55*0.9,20)</f>
        <v>19.683</v>
      </c>
      <c r="M55" s="13"/>
      <c r="N55" s="13"/>
    </row>
    <row r="56" spans="1:14" ht="12.75" customHeight="1">
      <c r="A56" s="16">
        <v>10</v>
      </c>
      <c r="B56" s="16"/>
      <c r="C56" s="15" t="s">
        <v>185</v>
      </c>
      <c r="D56" s="19">
        <f t="shared" ref="D56:L56" si="23">SUM(D54-D55)</f>
        <v>9.0647195699999781</v>
      </c>
      <c r="E56" s="19">
        <f t="shared" si="23"/>
        <v>11.282062817000037</v>
      </c>
      <c r="F56" s="19">
        <f t="shared" si="23"/>
        <v>19.780655879999973</v>
      </c>
      <c r="G56" s="19">
        <f t="shared" si="23"/>
        <v>44.551072820697641</v>
      </c>
      <c r="H56" s="19">
        <f t="shared" si="23"/>
        <v>139.81510645266042</v>
      </c>
      <c r="I56" s="19">
        <f t="shared" si="23"/>
        <v>150.80342937912189</v>
      </c>
      <c r="J56" s="19">
        <f t="shared" si="23"/>
        <v>165.70821708980583</v>
      </c>
      <c r="K56" s="19">
        <f t="shared" si="23"/>
        <v>181.25724380709926</v>
      </c>
      <c r="L56" s="19">
        <f t="shared" si="23"/>
        <v>196.3623805173961</v>
      </c>
      <c r="M56" s="13"/>
      <c r="N56" s="13"/>
    </row>
    <row r="57" spans="1:14" ht="12.75" customHeight="1">
      <c r="A57" s="16">
        <v>11</v>
      </c>
      <c r="B57" s="16" t="s">
        <v>186</v>
      </c>
      <c r="C57" s="15" t="s">
        <v>187</v>
      </c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</row>
    <row r="58" spans="1:14" ht="12.75" customHeight="1">
      <c r="A58" s="16"/>
      <c r="B58" s="16" t="s">
        <v>188</v>
      </c>
      <c r="C58" s="15" t="s">
        <v>189</v>
      </c>
      <c r="D58" s="19">
        <f>2649713/$L$1</f>
        <v>0.26497130000000002</v>
      </c>
      <c r="E58" s="19">
        <f>2026582.33/$L$1</f>
        <v>0.20265823300000002</v>
      </c>
      <c r="F58" s="19">
        <f>(1931968.8+399696)/$L$1</f>
        <v>0.23316647999999998</v>
      </c>
      <c r="G58" s="19">
        <f t="shared" ref="G58:L58" si="24">F58</f>
        <v>0.23316647999999998</v>
      </c>
      <c r="H58" s="19">
        <f t="shared" si="24"/>
        <v>0.23316647999999998</v>
      </c>
      <c r="I58" s="19">
        <f t="shared" si="24"/>
        <v>0.23316647999999998</v>
      </c>
      <c r="J58" s="19">
        <f t="shared" si="24"/>
        <v>0.23316647999999998</v>
      </c>
      <c r="K58" s="19">
        <f t="shared" si="24"/>
        <v>0.23316647999999998</v>
      </c>
      <c r="L58" s="19">
        <f t="shared" si="24"/>
        <v>0.23316647999999998</v>
      </c>
      <c r="M58" s="13"/>
      <c r="N58" s="13"/>
    </row>
    <row r="59" spans="1:14" ht="12.75" customHeight="1">
      <c r="A59" s="13"/>
      <c r="B59" s="16" t="s">
        <v>190</v>
      </c>
      <c r="C59" s="15" t="s">
        <v>191</v>
      </c>
      <c r="D59" s="19">
        <f>2397500/$L$1</f>
        <v>0.23974999999999999</v>
      </c>
      <c r="E59" s="19">
        <f>1596055/$L$1</f>
        <v>0.15960550000000001</v>
      </c>
      <c r="F59" s="19">
        <f t="shared" ref="F59:L59" si="25">0/$L$1</f>
        <v>0</v>
      </c>
      <c r="G59" s="19">
        <f t="shared" si="25"/>
        <v>0</v>
      </c>
      <c r="H59" s="19">
        <f t="shared" si="25"/>
        <v>0</v>
      </c>
      <c r="I59" s="19">
        <f t="shared" si="25"/>
        <v>0</v>
      </c>
      <c r="J59" s="19">
        <f t="shared" si="25"/>
        <v>0</v>
      </c>
      <c r="K59" s="19">
        <f t="shared" si="25"/>
        <v>0</v>
      </c>
      <c r="L59" s="19">
        <f t="shared" si="25"/>
        <v>0</v>
      </c>
      <c r="M59" s="13"/>
      <c r="N59" s="13"/>
    </row>
    <row r="60" spans="1:14" ht="12.75" customHeight="1">
      <c r="A60" s="13"/>
      <c r="B60" s="16" t="s">
        <v>192</v>
      </c>
      <c r="C60" s="15" t="s">
        <v>96</v>
      </c>
      <c r="D60" s="19">
        <f>(1329937)/$L$1</f>
        <v>0.13299369999999999</v>
      </c>
      <c r="E60" s="19">
        <f>14818513/$L$1</f>
        <v>1.4818513</v>
      </c>
      <c r="F60" s="19">
        <f>(18+3302024)/$L$1</f>
        <v>0.3302042</v>
      </c>
      <c r="G60" s="19">
        <f t="shared" ref="G60:L60" si="26">0/$L$1</f>
        <v>0</v>
      </c>
      <c r="H60" s="19">
        <f t="shared" si="26"/>
        <v>0</v>
      </c>
      <c r="I60" s="19">
        <f t="shared" si="26"/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3"/>
      <c r="N60" s="13"/>
    </row>
    <row r="61" spans="1:14" ht="12.75" customHeight="1">
      <c r="A61" s="16"/>
      <c r="B61" s="16"/>
      <c r="C61" s="15" t="s">
        <v>193</v>
      </c>
      <c r="D61" s="31">
        <f t="shared" ref="D61:L61" si="27">SUM(D58:D60)</f>
        <v>0.63771500000000003</v>
      </c>
      <c r="E61" s="31">
        <f t="shared" si="27"/>
        <v>1.844115033</v>
      </c>
      <c r="F61" s="31">
        <f t="shared" si="27"/>
        <v>0.56337068000000001</v>
      </c>
      <c r="G61" s="31">
        <f t="shared" si="27"/>
        <v>0.23316647999999998</v>
      </c>
      <c r="H61" s="31">
        <f t="shared" si="27"/>
        <v>0.23316647999999998</v>
      </c>
      <c r="I61" s="31">
        <f t="shared" si="27"/>
        <v>0.23316647999999998</v>
      </c>
      <c r="J61" s="31">
        <f t="shared" si="27"/>
        <v>0.23316647999999998</v>
      </c>
      <c r="K61" s="31">
        <f t="shared" si="27"/>
        <v>0.23316647999999998</v>
      </c>
      <c r="L61" s="31">
        <f t="shared" si="27"/>
        <v>0.23316647999999998</v>
      </c>
      <c r="M61" s="13"/>
      <c r="N61" s="13"/>
    </row>
    <row r="62" spans="1:14" ht="12.75" customHeight="1">
      <c r="A62" s="16"/>
      <c r="B62" s="16" t="s">
        <v>76</v>
      </c>
      <c r="C62" s="15" t="s">
        <v>194</v>
      </c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</row>
    <row r="63" spans="1:14" ht="12.75" customHeight="1">
      <c r="A63" s="16"/>
      <c r="B63" s="16" t="s">
        <v>188</v>
      </c>
      <c r="C63" s="15"/>
      <c r="D63" s="19"/>
      <c r="E63" s="19"/>
      <c r="F63" s="19"/>
      <c r="G63" s="19"/>
      <c r="H63" s="19"/>
      <c r="I63" s="19"/>
      <c r="J63" s="19"/>
      <c r="K63" s="19"/>
      <c r="L63" s="19"/>
      <c r="M63" s="13"/>
      <c r="N63" s="13"/>
    </row>
    <row r="64" spans="1:14" ht="12.75" customHeight="1">
      <c r="A64" s="16"/>
      <c r="B64" s="16"/>
      <c r="C64" s="15" t="s">
        <v>195</v>
      </c>
      <c r="D64" s="31">
        <f t="shared" ref="D64:L64" si="28">SUM(D63)</f>
        <v>0</v>
      </c>
      <c r="E64" s="31">
        <f t="shared" si="28"/>
        <v>0</v>
      </c>
      <c r="F64" s="31">
        <f t="shared" si="28"/>
        <v>0</v>
      </c>
      <c r="G64" s="31">
        <f t="shared" si="28"/>
        <v>0</v>
      </c>
      <c r="H64" s="31">
        <f t="shared" si="28"/>
        <v>0</v>
      </c>
      <c r="I64" s="31">
        <f t="shared" si="28"/>
        <v>0</v>
      </c>
      <c r="J64" s="31">
        <f t="shared" si="28"/>
        <v>0</v>
      </c>
      <c r="K64" s="31">
        <f t="shared" si="28"/>
        <v>0</v>
      </c>
      <c r="L64" s="31">
        <f t="shared" si="28"/>
        <v>0</v>
      </c>
      <c r="M64" s="13"/>
      <c r="N64" s="13"/>
    </row>
    <row r="65" spans="1:14" ht="12.75" customHeight="1">
      <c r="A65" s="16" t="s">
        <v>50</v>
      </c>
      <c r="B65" s="16" t="s">
        <v>78</v>
      </c>
      <c r="C65" s="15" t="s">
        <v>196</v>
      </c>
      <c r="D65" s="19"/>
      <c r="E65" s="19"/>
      <c r="F65" s="19"/>
      <c r="G65" s="19"/>
      <c r="H65" s="19"/>
      <c r="I65" s="19"/>
      <c r="J65" s="19"/>
      <c r="K65" s="19"/>
      <c r="L65" s="19"/>
      <c r="M65" s="13"/>
      <c r="N65" s="13"/>
    </row>
    <row r="66" spans="1:14" ht="12.75" customHeight="1">
      <c r="A66" s="16"/>
      <c r="B66" s="16"/>
      <c r="C66" s="30" t="s">
        <v>197</v>
      </c>
      <c r="D66" s="23">
        <f t="shared" ref="D66:L66" si="29">D61-D64</f>
        <v>0.63771500000000003</v>
      </c>
      <c r="E66" s="23">
        <f t="shared" si="29"/>
        <v>1.844115033</v>
      </c>
      <c r="F66" s="23">
        <f t="shared" si="29"/>
        <v>0.56337068000000001</v>
      </c>
      <c r="G66" s="23">
        <f t="shared" si="29"/>
        <v>0.23316647999999998</v>
      </c>
      <c r="H66" s="23">
        <f t="shared" si="29"/>
        <v>0.23316647999999998</v>
      </c>
      <c r="I66" s="23">
        <f t="shared" si="29"/>
        <v>0.23316647999999998</v>
      </c>
      <c r="J66" s="23">
        <f t="shared" si="29"/>
        <v>0.23316647999999998</v>
      </c>
      <c r="K66" s="23">
        <f t="shared" si="29"/>
        <v>0.23316647999999998</v>
      </c>
      <c r="L66" s="23">
        <f t="shared" si="29"/>
        <v>0.23316647999999998</v>
      </c>
      <c r="M66" s="13"/>
      <c r="N66" s="13"/>
    </row>
    <row r="67" spans="1:14" ht="12.75" customHeight="1">
      <c r="A67" s="16">
        <v>12</v>
      </c>
      <c r="B67" s="16"/>
      <c r="C67" s="15" t="s">
        <v>198</v>
      </c>
      <c r="D67" s="19">
        <f t="shared" ref="D67:L67" si="30">D56+D66</f>
        <v>9.7024345699999781</v>
      </c>
      <c r="E67" s="19">
        <f t="shared" si="30"/>
        <v>13.126177850000037</v>
      </c>
      <c r="F67" s="19">
        <f t="shared" si="30"/>
        <v>20.344026559999971</v>
      </c>
      <c r="G67" s="19">
        <f t="shared" si="30"/>
        <v>44.784239300697642</v>
      </c>
      <c r="H67" s="19">
        <f t="shared" si="30"/>
        <v>140.04827293266041</v>
      </c>
      <c r="I67" s="19">
        <f t="shared" si="30"/>
        <v>151.03659585912189</v>
      </c>
      <c r="J67" s="19">
        <f t="shared" si="30"/>
        <v>165.94138356980582</v>
      </c>
      <c r="K67" s="19">
        <f t="shared" si="30"/>
        <v>181.49041028709925</v>
      </c>
      <c r="L67" s="19">
        <f t="shared" si="30"/>
        <v>196.5955469973961</v>
      </c>
      <c r="M67" s="13"/>
      <c r="N67" s="13"/>
    </row>
    <row r="68" spans="1:14" ht="12.75" customHeight="1">
      <c r="A68" s="16">
        <v>13</v>
      </c>
      <c r="B68" s="16"/>
      <c r="C68" s="15" t="s">
        <v>199</v>
      </c>
      <c r="D68" s="19">
        <f>(17891035.04-2290519.47)/$L$1</f>
        <v>1.5600515569999998</v>
      </c>
      <c r="E68" s="19">
        <f>(21450723+10744518.87)/$L$1</f>
        <v>3.2195241869999998</v>
      </c>
      <c r="F68" s="19">
        <f>(43731073.49)/$L$1</f>
        <v>4.3731073490000005</v>
      </c>
      <c r="G68" s="19">
        <f t="shared" ref="G68:L68" si="31">F68*G67/F67</f>
        <v>9.6267218993080093</v>
      </c>
      <c r="H68" s="19">
        <f t="shared" si="31"/>
        <v>30.10446972089364</v>
      </c>
      <c r="I68" s="19">
        <f t="shared" si="31"/>
        <v>32.466495527396219</v>
      </c>
      <c r="J68" s="19">
        <f t="shared" si="31"/>
        <v>35.670396017824842</v>
      </c>
      <c r="K68" s="19">
        <f t="shared" si="31"/>
        <v>39.012780712745013</v>
      </c>
      <c r="L68" s="19">
        <f t="shared" si="31"/>
        <v>42.259747784904057</v>
      </c>
      <c r="M68" s="13"/>
      <c r="N68" s="13"/>
    </row>
    <row r="69" spans="1:14" ht="12.75" customHeight="1">
      <c r="A69" s="16">
        <v>14</v>
      </c>
      <c r="B69" s="16"/>
      <c r="C69" s="15" t="s">
        <v>200</v>
      </c>
      <c r="D69" s="19">
        <f t="shared" ref="D69:L69" si="32">SUM(D67-D68)</f>
        <v>8.1423830129999786</v>
      </c>
      <c r="E69" s="19">
        <f t="shared" si="32"/>
        <v>9.9066536630000375</v>
      </c>
      <c r="F69" s="19">
        <f t="shared" si="32"/>
        <v>15.97091921099997</v>
      </c>
      <c r="G69" s="19">
        <f t="shared" si="32"/>
        <v>35.157517401389633</v>
      </c>
      <c r="H69" s="19">
        <f t="shared" si="32"/>
        <v>109.94380321176678</v>
      </c>
      <c r="I69" s="19">
        <f t="shared" si="32"/>
        <v>118.57010033172567</v>
      </c>
      <c r="J69" s="19">
        <f t="shared" si="32"/>
        <v>130.27098755198097</v>
      </c>
      <c r="K69" s="19">
        <f t="shared" si="32"/>
        <v>142.47762957435424</v>
      </c>
      <c r="L69" s="19">
        <f t="shared" si="32"/>
        <v>154.33579921249205</v>
      </c>
      <c r="M69" s="13"/>
      <c r="N69" s="13"/>
    </row>
    <row r="70" spans="1:14" ht="12.75" customHeight="1">
      <c r="A70" s="16">
        <v>15</v>
      </c>
      <c r="B70" s="16" t="s">
        <v>201</v>
      </c>
      <c r="C70" s="15" t="s">
        <v>202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3"/>
      <c r="N70" s="13"/>
    </row>
    <row r="71" spans="1:14" ht="12.75" customHeight="1">
      <c r="A71" s="16"/>
      <c r="B71" s="16" t="s">
        <v>190</v>
      </c>
      <c r="C71" s="15" t="s">
        <v>203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3"/>
      <c r="N71" s="13"/>
    </row>
    <row r="72" spans="1:14" ht="13.5" customHeight="1" thickBot="1">
      <c r="A72" s="16">
        <v>16</v>
      </c>
      <c r="B72" s="16"/>
      <c r="C72" s="15" t="s">
        <v>204</v>
      </c>
      <c r="D72" s="29">
        <f t="shared" ref="D72:L72" si="33">SUM(D69-D71)</f>
        <v>8.1423830129999786</v>
      </c>
      <c r="E72" s="29">
        <f t="shared" si="33"/>
        <v>9.9066536630000375</v>
      </c>
      <c r="F72" s="29">
        <f t="shared" si="33"/>
        <v>15.97091921099997</v>
      </c>
      <c r="G72" s="29">
        <f t="shared" si="33"/>
        <v>35.157517401389633</v>
      </c>
      <c r="H72" s="29">
        <f t="shared" si="33"/>
        <v>109.94380321176678</v>
      </c>
      <c r="I72" s="29">
        <f t="shared" si="33"/>
        <v>118.57010033172567</v>
      </c>
      <c r="J72" s="29">
        <f t="shared" si="33"/>
        <v>130.27098755198097</v>
      </c>
      <c r="K72" s="29">
        <f t="shared" si="33"/>
        <v>142.47762957435424</v>
      </c>
      <c r="L72" s="29">
        <f t="shared" si="33"/>
        <v>154.33579921249205</v>
      </c>
      <c r="M72" s="13"/>
      <c r="N72" s="13"/>
    </row>
    <row r="73" spans="1:14" ht="13.5" customHeight="1" thickTop="1">
      <c r="A73" s="16"/>
      <c r="B73" s="16"/>
      <c r="C73" s="15"/>
      <c r="D73" s="28"/>
      <c r="E73" s="28"/>
      <c r="F73" s="28"/>
      <c r="G73" s="28"/>
      <c r="H73" s="27">
        <f>H72/H39</f>
        <v>0.11485341436795675</v>
      </c>
      <c r="I73" s="27">
        <f>I72/I39</f>
        <v>0.11575322346640718</v>
      </c>
      <c r="J73" s="27">
        <f>J72/J39</f>
        <v>0.11878318843282108</v>
      </c>
      <c r="K73" s="27">
        <f>K72/K39</f>
        <v>0.12127724721151015</v>
      </c>
      <c r="L73" s="27">
        <f>L72/L39</f>
        <v>0.12257239924877722</v>
      </c>
      <c r="M73" s="13"/>
      <c r="N73" s="13"/>
    </row>
    <row r="74" spans="1:14" ht="12.75" customHeight="1">
      <c r="A74" s="198" t="s">
        <v>251</v>
      </c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26"/>
      <c r="N74" s="26"/>
    </row>
    <row r="75" spans="1:14" ht="12.75" customHeight="1">
      <c r="A75" s="16"/>
      <c r="B75" s="16"/>
      <c r="C75" s="18" t="s">
        <v>250</v>
      </c>
      <c r="D75" s="15"/>
      <c r="E75" s="15"/>
      <c r="F75" s="15"/>
      <c r="G75" s="15"/>
      <c r="H75" s="15"/>
      <c r="I75" s="15"/>
      <c r="J75" s="15"/>
      <c r="K75" s="15"/>
      <c r="L75" s="15"/>
      <c r="M75" s="13"/>
      <c r="N75" s="13"/>
    </row>
    <row r="76" spans="1:14" ht="12.75" customHeight="1">
      <c r="A76" s="16">
        <v>1</v>
      </c>
      <c r="B76" s="16"/>
      <c r="C76" s="15" t="s">
        <v>122</v>
      </c>
      <c r="D76" s="15">
        <f>(361094280.01+13422096.66)/L1</f>
        <v>37.451637667</v>
      </c>
      <c r="E76" s="15">
        <f>(535436190.76)/L1</f>
        <v>53.543619075999999</v>
      </c>
      <c r="F76" s="15">
        <f>776515514.51/$L$1</f>
        <v>77.651551451000003</v>
      </c>
      <c r="G76" s="15">
        <f>800000000/L1</f>
        <v>80</v>
      </c>
      <c r="H76" s="15">
        <f>G76</f>
        <v>80</v>
      </c>
      <c r="I76" s="15">
        <f>H76</f>
        <v>80</v>
      </c>
      <c r="J76" s="15">
        <f>I76</f>
        <v>80</v>
      </c>
      <c r="K76" s="15">
        <f>J76</f>
        <v>80</v>
      </c>
      <c r="L76" s="15">
        <f>K76</f>
        <v>80</v>
      </c>
      <c r="M76" s="13"/>
      <c r="N76" s="13"/>
    </row>
    <row r="77" spans="1:14" ht="12.75" customHeight="1">
      <c r="A77" s="16">
        <v>2</v>
      </c>
      <c r="B77" s="16"/>
      <c r="C77" s="15" t="s">
        <v>123</v>
      </c>
      <c r="D77" s="15">
        <f t="shared" ref="D77:L77" si="34">0/$L$1</f>
        <v>0</v>
      </c>
      <c r="E77" s="15">
        <f t="shared" si="34"/>
        <v>0</v>
      </c>
      <c r="F77" s="15">
        <f t="shared" si="34"/>
        <v>0</v>
      </c>
      <c r="G77" s="15">
        <f t="shared" si="34"/>
        <v>0</v>
      </c>
      <c r="H77" s="15">
        <f t="shared" si="34"/>
        <v>0</v>
      </c>
      <c r="I77" s="15">
        <f t="shared" si="34"/>
        <v>0</v>
      </c>
      <c r="J77" s="15">
        <f t="shared" si="34"/>
        <v>0</v>
      </c>
      <c r="K77" s="15">
        <f t="shared" si="34"/>
        <v>0</v>
      </c>
      <c r="L77" s="15">
        <f t="shared" si="34"/>
        <v>0</v>
      </c>
      <c r="M77" s="13"/>
      <c r="N77" s="13"/>
    </row>
    <row r="78" spans="1:14" ht="12.75" customHeight="1">
      <c r="A78" s="16">
        <v>3</v>
      </c>
      <c r="B78" s="16"/>
      <c r="C78" s="15" t="s">
        <v>249</v>
      </c>
      <c r="D78" s="19">
        <f>492491380.8/$L$1</f>
        <v>49.249138080000002</v>
      </c>
      <c r="E78" s="19">
        <f>298573827.03/L1</f>
        <v>29.857382702999995</v>
      </c>
      <c r="F78" s="15">
        <f>280971837.2/$L$1</f>
        <v>28.09718372</v>
      </c>
      <c r="G78" s="15">
        <f>ROUND((F78*SUM($G$15:$G$18)/SUM($F$15:$F$18))*0.75,2)</f>
        <v>31.27</v>
      </c>
      <c r="H78" s="15">
        <f>ROUND(G78*SUM($H$15:$H$18)/SUM($G$15:$G$18),2)</f>
        <v>34.4</v>
      </c>
      <c r="I78" s="15">
        <f>ROUND(H78*SUM(I15:I18)/SUM(H15:H18),2)</f>
        <v>37.840000000000003</v>
      </c>
      <c r="J78" s="15">
        <f>ROUND(I78*SUM(J15:J18)/SUM(I15:I18),2)</f>
        <v>41.62</v>
      </c>
      <c r="K78" s="15">
        <f>ROUND(J78*SUM(K15:K18)/SUM(J15:J18),2)</f>
        <v>45.78</v>
      </c>
      <c r="L78" s="15">
        <f>ROUND(K78*SUM(L15:L18)/SUM(K15:K18),2)</f>
        <v>50.36</v>
      </c>
      <c r="M78" s="13"/>
      <c r="N78" s="13"/>
    </row>
    <row r="79" spans="1:14" ht="12.75" customHeight="1">
      <c r="A79" s="16">
        <v>4</v>
      </c>
      <c r="B79" s="16"/>
      <c r="C79" s="15" t="s">
        <v>248</v>
      </c>
      <c r="D79" s="19">
        <f>97122661.91/L1</f>
        <v>9.7122661909999994</v>
      </c>
      <c r="E79" s="19">
        <f>93263972.14/L1</f>
        <v>9.326397214</v>
      </c>
      <c r="F79" s="15">
        <f>66471033.58/$L$1</f>
        <v>6.6471033579999999</v>
      </c>
      <c r="G79" s="15">
        <f>ROUND((F79*SUM($G$15:$G$18)/SUM($F$15:$F$18))*0.75,2)</f>
        <v>7.4</v>
      </c>
      <c r="H79" s="15">
        <f>ROUND(G79*SUM(H15:H18)/SUM(G15:G18),2)+(100000000/$L$1)</f>
        <v>18.14</v>
      </c>
      <c r="I79" s="15">
        <f>ROUND(H79*SUM(I15:I18)/SUM(H15:H18),2)</f>
        <v>19.95</v>
      </c>
      <c r="J79" s="15">
        <f>ROUND(I79*SUM(J15:J18)/SUM(I15:I18),2)</f>
        <v>21.95</v>
      </c>
      <c r="K79" s="15">
        <f>ROUND(J79*SUM(K15:K18)/SUM(J15:J18),2)</f>
        <v>24.15</v>
      </c>
      <c r="L79" s="15">
        <f>ROUND(K79*SUM(L15:L18)/SUM(K15:K18),2)</f>
        <v>26.57</v>
      </c>
      <c r="M79" s="13"/>
      <c r="N79" s="13"/>
    </row>
    <row r="80" spans="1:14" ht="12.75" customHeight="1">
      <c r="A80" s="16">
        <v>5</v>
      </c>
      <c r="B80" s="16"/>
      <c r="C80" s="15" t="s">
        <v>247</v>
      </c>
      <c r="D80" s="19">
        <f>(17891035.04)/$L$1</f>
        <v>1.7891035039999998</v>
      </c>
      <c r="E80" s="19">
        <f>21448723/$L$1</f>
        <v>2.1448722999999998</v>
      </c>
      <c r="F80" s="15">
        <f>37293194.97/$L$1</f>
        <v>3.7293194970000001</v>
      </c>
      <c r="G80" s="15">
        <f t="shared" ref="G80:L80" si="35">G68</f>
        <v>9.6267218993080093</v>
      </c>
      <c r="H80" s="15">
        <f t="shared" si="35"/>
        <v>30.10446972089364</v>
      </c>
      <c r="I80" s="15">
        <f t="shared" si="35"/>
        <v>32.466495527396219</v>
      </c>
      <c r="J80" s="15">
        <f t="shared" si="35"/>
        <v>35.670396017824842</v>
      </c>
      <c r="K80" s="15">
        <f t="shared" si="35"/>
        <v>39.012780712745013</v>
      </c>
      <c r="L80" s="15">
        <f t="shared" si="35"/>
        <v>42.259747784904057</v>
      </c>
      <c r="M80" s="13"/>
      <c r="N80" s="13"/>
    </row>
    <row r="81" spans="1:14" ht="12.75" customHeight="1">
      <c r="A81" s="16">
        <v>6</v>
      </c>
      <c r="B81" s="16"/>
      <c r="C81" s="15" t="s">
        <v>124</v>
      </c>
      <c r="D81" s="19">
        <v>0</v>
      </c>
      <c r="E81" s="19"/>
      <c r="F81" s="15">
        <f t="shared" ref="F81:L81" si="36">0/$L$1</f>
        <v>0</v>
      </c>
      <c r="G81" s="15">
        <f t="shared" si="36"/>
        <v>0</v>
      </c>
      <c r="H81" s="15">
        <f t="shared" si="36"/>
        <v>0</v>
      </c>
      <c r="I81" s="15">
        <f t="shared" si="36"/>
        <v>0</v>
      </c>
      <c r="J81" s="15">
        <f t="shared" si="36"/>
        <v>0</v>
      </c>
      <c r="K81" s="15">
        <f t="shared" si="36"/>
        <v>0</v>
      </c>
      <c r="L81" s="15">
        <f t="shared" si="36"/>
        <v>0</v>
      </c>
      <c r="M81" s="13"/>
      <c r="N81" s="13"/>
    </row>
    <row r="82" spans="1:14" ht="12.75" customHeight="1">
      <c r="A82" s="16">
        <v>7</v>
      </c>
      <c r="B82" s="16"/>
      <c r="C82" s="15" t="s">
        <v>146</v>
      </c>
      <c r="D82" s="19">
        <f>(861864+18510777.9+223783.75+228460+120290+338240+7150+74402+36666+34500)/$L$1</f>
        <v>2.0436133649999997</v>
      </c>
      <c r="E82" s="19">
        <f>(1058847+42621294.59+194978+2156+762125.34+23416+358000+19638+106263.15+591557+78272)/$L$1</f>
        <v>4.5816547080000003</v>
      </c>
      <c r="F82" s="15">
        <f>(32145828.61+1404942)/$L$1</f>
        <v>3.3550770609999998</v>
      </c>
      <c r="G82" s="15">
        <f t="shared" ref="G82:L82" si="37">ROUND(F82*1.1,2)</f>
        <v>3.69</v>
      </c>
      <c r="H82" s="15">
        <f t="shared" si="37"/>
        <v>4.0599999999999996</v>
      </c>
      <c r="I82" s="15">
        <f t="shared" si="37"/>
        <v>4.47</v>
      </c>
      <c r="J82" s="15">
        <f t="shared" si="37"/>
        <v>4.92</v>
      </c>
      <c r="K82" s="15">
        <f t="shared" si="37"/>
        <v>5.41</v>
      </c>
      <c r="L82" s="15">
        <f t="shared" si="37"/>
        <v>5.95</v>
      </c>
      <c r="M82" s="13"/>
      <c r="N82" s="13"/>
    </row>
    <row r="83" spans="1:14" ht="12.75" customHeight="1">
      <c r="A83" s="16">
        <v>8</v>
      </c>
      <c r="B83" s="16"/>
      <c r="C83" s="15" t="s">
        <v>246</v>
      </c>
      <c r="D83" s="19"/>
      <c r="E83" s="19"/>
      <c r="F83" s="19"/>
      <c r="G83" s="13"/>
      <c r="H83" s="13"/>
      <c r="I83" s="13"/>
      <c r="J83" s="13"/>
      <c r="K83" s="13"/>
      <c r="L83" s="13"/>
      <c r="M83" s="13"/>
      <c r="N83" s="13"/>
    </row>
    <row r="84" spans="1:14" ht="12.75" customHeight="1">
      <c r="A84" s="16"/>
      <c r="B84" s="16"/>
      <c r="C84" s="15" t="s">
        <v>245</v>
      </c>
      <c r="D84" s="19">
        <f t="shared" ref="D84:L84" si="38">0/$L$1</f>
        <v>0</v>
      </c>
      <c r="E84" s="19">
        <f t="shared" si="38"/>
        <v>0</v>
      </c>
      <c r="F84" s="19">
        <f t="shared" si="38"/>
        <v>0</v>
      </c>
      <c r="G84" s="19">
        <f t="shared" si="38"/>
        <v>0</v>
      </c>
      <c r="H84" s="19">
        <f t="shared" si="38"/>
        <v>0</v>
      </c>
      <c r="I84" s="19">
        <f t="shared" si="38"/>
        <v>0</v>
      </c>
      <c r="J84" s="19">
        <f t="shared" si="38"/>
        <v>0</v>
      </c>
      <c r="K84" s="19">
        <f t="shared" si="38"/>
        <v>0</v>
      </c>
      <c r="L84" s="19">
        <f t="shared" si="38"/>
        <v>0</v>
      </c>
      <c r="M84" s="13"/>
      <c r="N84" s="13"/>
    </row>
    <row r="85" spans="1:14" ht="12.75" customHeight="1">
      <c r="A85" s="16">
        <v>9</v>
      </c>
      <c r="B85" s="16"/>
      <c r="C85" s="15" t="s">
        <v>125</v>
      </c>
      <c r="D85" s="19">
        <f>(59912314.69)/$L$1-D80-D82</f>
        <v>2.1585146000000002</v>
      </c>
      <c r="E85" s="19">
        <f>(74457165.83)/$L$1-E80-E82</f>
        <v>0.71918957499999969</v>
      </c>
      <c r="F85" s="19">
        <f>(11945374.74+205000)/$L$1</f>
        <v>1.2150374740000001</v>
      </c>
      <c r="G85" s="15">
        <f t="shared" ref="G85:L85" si="39">ROUND(F85*1.1,2)</f>
        <v>1.34</v>
      </c>
      <c r="H85" s="15">
        <f t="shared" si="39"/>
        <v>1.47</v>
      </c>
      <c r="I85" s="15">
        <f t="shared" si="39"/>
        <v>1.62</v>
      </c>
      <c r="J85" s="15">
        <f t="shared" si="39"/>
        <v>1.78</v>
      </c>
      <c r="K85" s="15">
        <f t="shared" si="39"/>
        <v>1.96</v>
      </c>
      <c r="L85" s="15">
        <f t="shared" si="39"/>
        <v>2.16</v>
      </c>
      <c r="M85" s="13"/>
      <c r="N85" s="13"/>
    </row>
    <row r="86" spans="1:14" ht="12.75" customHeight="1">
      <c r="A86" s="16">
        <v>10</v>
      </c>
      <c r="B86" s="16"/>
      <c r="C86" s="15" t="s">
        <v>244</v>
      </c>
      <c r="D86" s="23">
        <f t="shared" ref="D86:L86" si="40">SUM(D75:D85)</f>
        <v>102.40427340699999</v>
      </c>
      <c r="E86" s="23">
        <f t="shared" si="40"/>
        <v>100.173115576</v>
      </c>
      <c r="F86" s="23">
        <f t="shared" si="40"/>
        <v>120.69527256100001</v>
      </c>
      <c r="G86" s="23">
        <f t="shared" si="40"/>
        <v>133.32672189930801</v>
      </c>
      <c r="H86" s="23">
        <f t="shared" si="40"/>
        <v>168.17446972089365</v>
      </c>
      <c r="I86" s="23">
        <f t="shared" si="40"/>
        <v>176.34649552739623</v>
      </c>
      <c r="J86" s="23">
        <f t="shared" si="40"/>
        <v>185.94039601782481</v>
      </c>
      <c r="K86" s="23">
        <f t="shared" si="40"/>
        <v>196.31278071274502</v>
      </c>
      <c r="L86" s="23">
        <f t="shared" si="40"/>
        <v>207.29974778490404</v>
      </c>
      <c r="M86" s="13"/>
      <c r="N86" s="13"/>
    </row>
    <row r="87" spans="1:14" ht="12.75" customHeight="1">
      <c r="A87" s="16"/>
      <c r="B87" s="16"/>
      <c r="C87" s="18" t="s">
        <v>243</v>
      </c>
      <c r="D87" s="19"/>
      <c r="E87" s="19"/>
      <c r="F87" s="19"/>
      <c r="G87" s="13"/>
      <c r="H87" s="13"/>
      <c r="I87" s="13"/>
      <c r="J87" s="13"/>
      <c r="K87" s="13"/>
      <c r="L87" s="13"/>
      <c r="M87" s="13"/>
      <c r="N87" s="13"/>
    </row>
    <row r="88" spans="1:14" ht="12.75" customHeight="1">
      <c r="A88" s="16">
        <v>11</v>
      </c>
      <c r="B88" s="16"/>
      <c r="C88" s="15" t="s">
        <v>242</v>
      </c>
      <c r="D88" s="19">
        <f t="shared" ref="D88:L88" si="41">0/$L$1</f>
        <v>0</v>
      </c>
      <c r="E88" s="19">
        <f t="shared" si="41"/>
        <v>0</v>
      </c>
      <c r="F88" s="19">
        <f t="shared" si="41"/>
        <v>0</v>
      </c>
      <c r="G88" s="19">
        <f t="shared" si="41"/>
        <v>0</v>
      </c>
      <c r="H88" s="19">
        <f t="shared" si="41"/>
        <v>0</v>
      </c>
      <c r="I88" s="19">
        <f t="shared" si="41"/>
        <v>0</v>
      </c>
      <c r="J88" s="19">
        <f t="shared" si="41"/>
        <v>0</v>
      </c>
      <c r="K88" s="19">
        <f t="shared" si="41"/>
        <v>0</v>
      </c>
      <c r="L88" s="19">
        <f t="shared" si="41"/>
        <v>0</v>
      </c>
      <c r="M88" s="13"/>
      <c r="N88" s="13"/>
    </row>
    <row r="89" spans="1:14" ht="12.75" customHeight="1">
      <c r="A89" s="16">
        <v>12</v>
      </c>
      <c r="B89" s="16"/>
      <c r="C89" s="15" t="s">
        <v>241</v>
      </c>
      <c r="D89" s="19"/>
      <c r="E89" s="19"/>
      <c r="F89" s="19"/>
      <c r="G89" s="19"/>
      <c r="H89" s="19"/>
      <c r="I89" s="19"/>
      <c r="J89" s="19"/>
      <c r="K89" s="19"/>
      <c r="L89" s="19"/>
      <c r="M89" s="13"/>
      <c r="N89" s="13"/>
    </row>
    <row r="90" spans="1:14" ht="12.75" customHeight="1">
      <c r="A90" s="16"/>
      <c r="B90" s="16"/>
      <c r="C90" s="15" t="s">
        <v>240</v>
      </c>
      <c r="D90" s="19">
        <f t="shared" ref="D90:L90" si="42">0/$L$1</f>
        <v>0</v>
      </c>
      <c r="E90" s="19">
        <f t="shared" si="42"/>
        <v>0</v>
      </c>
      <c r="F90" s="19">
        <f t="shared" si="42"/>
        <v>0</v>
      </c>
      <c r="G90" s="19">
        <f t="shared" si="42"/>
        <v>0</v>
      </c>
      <c r="H90" s="19">
        <f t="shared" si="42"/>
        <v>0</v>
      </c>
      <c r="I90" s="19">
        <f t="shared" si="42"/>
        <v>0</v>
      </c>
      <c r="J90" s="19">
        <f t="shared" si="42"/>
        <v>0</v>
      </c>
      <c r="K90" s="19">
        <f t="shared" si="42"/>
        <v>0</v>
      </c>
      <c r="L90" s="19">
        <f t="shared" si="42"/>
        <v>0</v>
      </c>
      <c r="M90" s="13"/>
      <c r="N90" s="13"/>
    </row>
    <row r="91" spans="1:14" ht="12.75" customHeight="1">
      <c r="A91" s="16">
        <v>13</v>
      </c>
      <c r="B91" s="16"/>
      <c r="C91" s="15" t="s">
        <v>239</v>
      </c>
      <c r="D91" s="19">
        <f>659365645.43/$L$1</f>
        <v>65.936564542999989</v>
      </c>
      <c r="E91" s="19">
        <f>292433623.89/$L$1</f>
        <v>29.243362388999998</v>
      </c>
      <c r="F91" s="19">
        <f>982421912.48/$L$1</f>
        <v>98.242191247999997</v>
      </c>
      <c r="G91" s="19">
        <f>1900000000/L1</f>
        <v>190</v>
      </c>
      <c r="H91" s="19">
        <f>MAX(G91-(300000000/$L$1),0)</f>
        <v>160</v>
      </c>
      <c r="I91" s="19">
        <f>MAX(H91-(300000000/$L$1),0)</f>
        <v>130</v>
      </c>
      <c r="J91" s="19">
        <f>MAX(I91-(300000000/$L$1),0)</f>
        <v>100</v>
      </c>
      <c r="K91" s="19">
        <f>MAX(J91-(300000000/$L$1),0)</f>
        <v>70</v>
      </c>
      <c r="L91" s="19">
        <f>MAX(K91-(300000000/$L$1),0)</f>
        <v>40</v>
      </c>
      <c r="M91" s="13"/>
      <c r="N91" s="13"/>
    </row>
    <row r="92" spans="1:14" ht="12.75" customHeight="1">
      <c r="A92" s="16">
        <v>14</v>
      </c>
      <c r="B92" s="16"/>
      <c r="C92" s="15" t="s">
        <v>147</v>
      </c>
      <c r="D92" s="19">
        <f>330896611/$L$1</f>
        <v>33.089661100000001</v>
      </c>
      <c r="E92" s="19">
        <f>338332702.78/$L$1</f>
        <v>33.833270278000001</v>
      </c>
      <c r="F92" s="19">
        <f>357134631/$L$1</f>
        <v>35.713463099999998</v>
      </c>
      <c r="G92" s="19">
        <f t="shared" ref="G92:L92" si="43">F92</f>
        <v>35.713463099999998</v>
      </c>
      <c r="H92" s="19">
        <f t="shared" si="43"/>
        <v>35.713463099999998</v>
      </c>
      <c r="I92" s="19">
        <f t="shared" si="43"/>
        <v>35.713463099999998</v>
      </c>
      <c r="J92" s="19">
        <f t="shared" si="43"/>
        <v>35.713463099999998</v>
      </c>
      <c r="K92" s="19">
        <f t="shared" si="43"/>
        <v>35.713463099999998</v>
      </c>
      <c r="L92" s="19">
        <f t="shared" si="43"/>
        <v>35.713463099999998</v>
      </c>
      <c r="M92" s="13"/>
      <c r="N92" s="13"/>
    </row>
    <row r="93" spans="1:14" ht="12.75" customHeight="1">
      <c r="A93" s="16">
        <v>15</v>
      </c>
      <c r="B93" s="16"/>
      <c r="C93" s="15" t="s">
        <v>127</v>
      </c>
      <c r="D93" s="19">
        <f>0/$L$1</f>
        <v>0</v>
      </c>
      <c r="E93" s="19">
        <f>0/$L$1</f>
        <v>0</v>
      </c>
      <c r="F93" s="19">
        <f>5768989.66/$L$1</f>
        <v>0.57689896600000001</v>
      </c>
      <c r="G93" s="19">
        <f t="shared" ref="G93:L93" si="44">ROUND(F93*1.1,2)</f>
        <v>0.63</v>
      </c>
      <c r="H93" s="19">
        <f t="shared" si="44"/>
        <v>0.69</v>
      </c>
      <c r="I93" s="19">
        <f t="shared" si="44"/>
        <v>0.76</v>
      </c>
      <c r="J93" s="19">
        <f t="shared" si="44"/>
        <v>0.84</v>
      </c>
      <c r="K93" s="19">
        <f t="shared" si="44"/>
        <v>0.92</v>
      </c>
      <c r="L93" s="19">
        <f t="shared" si="44"/>
        <v>1.01</v>
      </c>
      <c r="M93" s="13"/>
      <c r="N93" s="13"/>
    </row>
    <row r="94" spans="1:14" ht="12.75" customHeight="1">
      <c r="A94" s="16">
        <v>16</v>
      </c>
      <c r="B94" s="16"/>
      <c r="C94" s="15" t="s">
        <v>128</v>
      </c>
      <c r="D94" s="19">
        <f>0/$L$1</f>
        <v>0</v>
      </c>
      <c r="E94" s="19">
        <f>0/$L$1</f>
        <v>0</v>
      </c>
      <c r="F94" s="19">
        <f t="shared" ref="F94:L94" si="45">0/$L$1</f>
        <v>0</v>
      </c>
      <c r="G94" s="19">
        <f t="shared" si="45"/>
        <v>0</v>
      </c>
      <c r="H94" s="19">
        <f t="shared" si="45"/>
        <v>0</v>
      </c>
      <c r="I94" s="19">
        <f t="shared" si="45"/>
        <v>0</v>
      </c>
      <c r="J94" s="19">
        <f t="shared" si="45"/>
        <v>0</v>
      </c>
      <c r="K94" s="19">
        <f t="shared" si="45"/>
        <v>0</v>
      </c>
      <c r="L94" s="19">
        <f t="shared" si="45"/>
        <v>0</v>
      </c>
      <c r="M94" s="13"/>
      <c r="N94" s="13"/>
    </row>
    <row r="95" spans="1:14" ht="12.75" customHeight="1">
      <c r="A95" s="16">
        <v>17</v>
      </c>
      <c r="B95" s="16"/>
      <c r="C95" s="18" t="s">
        <v>238</v>
      </c>
      <c r="D95" s="23">
        <f t="shared" ref="D95:L95" si="46">SUM(D88:D94)</f>
        <v>99.026225642999989</v>
      </c>
      <c r="E95" s="23">
        <f t="shared" si="46"/>
        <v>63.076632666999998</v>
      </c>
      <c r="F95" s="23">
        <f t="shared" si="46"/>
        <v>134.53255331399998</v>
      </c>
      <c r="G95" s="23">
        <f t="shared" si="46"/>
        <v>226.34346310000001</v>
      </c>
      <c r="H95" s="23">
        <f t="shared" si="46"/>
        <v>196.40346310000001</v>
      </c>
      <c r="I95" s="23">
        <f t="shared" si="46"/>
        <v>166.4734631</v>
      </c>
      <c r="J95" s="23">
        <f t="shared" si="46"/>
        <v>136.55346310000002</v>
      </c>
      <c r="K95" s="23">
        <f t="shared" si="46"/>
        <v>106.6334631</v>
      </c>
      <c r="L95" s="23">
        <f t="shared" si="46"/>
        <v>76.723463100000004</v>
      </c>
      <c r="M95" s="13"/>
      <c r="N95" s="13"/>
    </row>
    <row r="96" spans="1:14" ht="12.75" customHeight="1">
      <c r="A96" s="16">
        <v>18</v>
      </c>
      <c r="B96" s="16"/>
      <c r="C96" s="18" t="s">
        <v>237</v>
      </c>
      <c r="D96" s="23">
        <f t="shared" ref="D96:L96" si="47">D95+D86</f>
        <v>201.43049904999998</v>
      </c>
      <c r="E96" s="23">
        <f t="shared" si="47"/>
        <v>163.249748243</v>
      </c>
      <c r="F96" s="23">
        <f t="shared" si="47"/>
        <v>255.22782587500001</v>
      </c>
      <c r="G96" s="23">
        <f t="shared" si="47"/>
        <v>359.67018499930805</v>
      </c>
      <c r="H96" s="23">
        <f t="shared" si="47"/>
        <v>364.57793282089369</v>
      </c>
      <c r="I96" s="23">
        <f t="shared" si="47"/>
        <v>342.8199586273962</v>
      </c>
      <c r="J96" s="23">
        <f t="shared" si="47"/>
        <v>322.49385911782485</v>
      </c>
      <c r="K96" s="23">
        <f t="shared" si="47"/>
        <v>302.94624381274502</v>
      </c>
      <c r="L96" s="23">
        <f t="shared" si="47"/>
        <v>284.02321088490407</v>
      </c>
      <c r="M96" s="13"/>
      <c r="N96" s="13"/>
    </row>
    <row r="97" spans="1:14" ht="12.75" customHeight="1">
      <c r="A97" s="16"/>
      <c r="B97" s="16"/>
      <c r="C97" s="18" t="s">
        <v>236</v>
      </c>
      <c r="D97" s="19"/>
      <c r="E97" s="19"/>
      <c r="F97" s="19"/>
      <c r="G97" s="13"/>
      <c r="H97" s="13"/>
      <c r="I97" s="13"/>
      <c r="J97" s="13"/>
      <c r="K97" s="13"/>
      <c r="L97" s="13"/>
      <c r="M97" s="13"/>
      <c r="N97" s="13"/>
    </row>
    <row r="98" spans="1:14" ht="12.75" customHeight="1">
      <c r="A98" s="16">
        <v>19</v>
      </c>
      <c r="B98" s="16"/>
      <c r="C98" s="15" t="s">
        <v>131</v>
      </c>
      <c r="D98" s="19">
        <f>67783000/$L$1</f>
        <v>6.7782999999999998</v>
      </c>
      <c r="E98" s="19">
        <f>67783000/$L$1</f>
        <v>6.7782999999999998</v>
      </c>
      <c r="F98" s="19">
        <f>57179000/$L$1</f>
        <v>5.7179000000000002</v>
      </c>
      <c r="G98" s="19">
        <f>F98+(3333340/L1)</f>
        <v>6.051234</v>
      </c>
      <c r="H98" s="19">
        <f>G98</f>
        <v>6.051234</v>
      </c>
      <c r="I98" s="19">
        <f>H98</f>
        <v>6.051234</v>
      </c>
      <c r="J98" s="19">
        <f>I98</f>
        <v>6.051234</v>
      </c>
      <c r="K98" s="19">
        <f>J98</f>
        <v>6.051234</v>
      </c>
      <c r="L98" s="19">
        <f>K98</f>
        <v>6.051234</v>
      </c>
      <c r="M98" s="13"/>
      <c r="N98" s="13"/>
    </row>
    <row r="99" spans="1:14" ht="12.75" customHeight="1">
      <c r="A99" s="16">
        <v>20</v>
      </c>
      <c r="B99" s="16"/>
      <c r="C99" s="15" t="s">
        <v>132</v>
      </c>
      <c r="D99" s="19">
        <f t="shared" ref="D99:L99" si="48">0/$L$1</f>
        <v>0</v>
      </c>
      <c r="E99" s="19">
        <f t="shared" si="48"/>
        <v>0</v>
      </c>
      <c r="F99" s="19">
        <f t="shared" si="48"/>
        <v>0</v>
      </c>
      <c r="G99" s="19">
        <f t="shared" si="48"/>
        <v>0</v>
      </c>
      <c r="H99" s="19">
        <f t="shared" si="48"/>
        <v>0</v>
      </c>
      <c r="I99" s="19">
        <f t="shared" si="48"/>
        <v>0</v>
      </c>
      <c r="J99" s="19">
        <f t="shared" si="48"/>
        <v>0</v>
      </c>
      <c r="K99" s="19">
        <f t="shared" si="48"/>
        <v>0</v>
      </c>
      <c r="L99" s="19">
        <f t="shared" si="48"/>
        <v>0</v>
      </c>
      <c r="M99" s="13"/>
      <c r="N99" s="13"/>
    </row>
    <row r="100" spans="1:14" ht="12.75" customHeight="1">
      <c r="A100" s="25">
        <v>21</v>
      </c>
      <c r="B100" s="16"/>
      <c r="C100" s="24" t="s">
        <v>133</v>
      </c>
      <c r="D100" s="19">
        <f>0/$L$1</f>
        <v>0</v>
      </c>
      <c r="E100" s="19">
        <f>0/$L$1</f>
        <v>0</v>
      </c>
      <c r="F100" s="19">
        <f>10604000/$L$1</f>
        <v>1.0604</v>
      </c>
      <c r="G100" s="19">
        <f t="shared" ref="G100:L100" si="49">F100</f>
        <v>1.0604</v>
      </c>
      <c r="H100" s="19">
        <f t="shared" si="49"/>
        <v>1.0604</v>
      </c>
      <c r="I100" s="19">
        <f t="shared" si="49"/>
        <v>1.0604</v>
      </c>
      <c r="J100" s="19">
        <f t="shared" si="49"/>
        <v>1.0604</v>
      </c>
      <c r="K100" s="19">
        <f t="shared" si="49"/>
        <v>1.0604</v>
      </c>
      <c r="L100" s="19">
        <f t="shared" si="49"/>
        <v>1.0604</v>
      </c>
      <c r="M100" s="13"/>
      <c r="N100" s="13"/>
    </row>
    <row r="101" spans="1:14" ht="12.75" customHeight="1">
      <c r="A101" s="16">
        <v>22</v>
      </c>
      <c r="B101" s="16"/>
      <c r="C101" s="15" t="s">
        <v>134</v>
      </c>
      <c r="D101" s="19">
        <f>134361500/$L$1</f>
        <v>13.43615</v>
      </c>
      <c r="E101" s="19">
        <f>134361500/$L$1</f>
        <v>13.43615</v>
      </c>
      <c r="F101" s="19">
        <f>123757500/$L$1</f>
        <v>12.37575</v>
      </c>
      <c r="G101" s="19">
        <f>F101+(350000000/L1)-G98+F98</f>
        <v>47.042415999999996</v>
      </c>
      <c r="H101" s="19">
        <f>G101</f>
        <v>47.042415999999996</v>
      </c>
      <c r="I101" s="19">
        <f>H101</f>
        <v>47.042415999999996</v>
      </c>
      <c r="J101" s="19">
        <f>I101</f>
        <v>47.042415999999996</v>
      </c>
      <c r="K101" s="19">
        <f>J101</f>
        <v>47.042415999999996</v>
      </c>
      <c r="L101" s="19">
        <f>K101</f>
        <v>47.042415999999996</v>
      </c>
      <c r="M101" s="13"/>
      <c r="N101" s="13"/>
    </row>
    <row r="102" spans="1:14" ht="12.75" customHeight="1">
      <c r="A102" s="16">
        <v>23</v>
      </c>
      <c r="B102" s="16"/>
      <c r="C102" s="15" t="s">
        <v>135</v>
      </c>
      <c r="D102" s="19">
        <f>478042590.96/$L$1</f>
        <v>47.804259095999996</v>
      </c>
      <c r="E102" s="19">
        <f>565833275.63/$L$1</f>
        <v>56.583327562999997</v>
      </c>
      <c r="F102" s="19">
        <f>710636844.56/$L$1</f>
        <v>71.06368445599999</v>
      </c>
      <c r="G102" s="19">
        <f t="shared" ref="G102:L102" si="50">F102+G72</f>
        <v>106.22120185738962</v>
      </c>
      <c r="H102" s="19">
        <f t="shared" si="50"/>
        <v>216.16500506915639</v>
      </c>
      <c r="I102" s="19">
        <f t="shared" si="50"/>
        <v>334.73510540088205</v>
      </c>
      <c r="J102" s="19">
        <f t="shared" si="50"/>
        <v>465.00609295286301</v>
      </c>
      <c r="K102" s="19">
        <f t="shared" si="50"/>
        <v>607.4837225272172</v>
      </c>
      <c r="L102" s="19">
        <f t="shared" si="50"/>
        <v>761.81952173970922</v>
      </c>
      <c r="M102" s="13"/>
      <c r="N102" s="13"/>
    </row>
    <row r="103" spans="1:14" ht="12.75" customHeight="1">
      <c r="A103" s="16">
        <v>24</v>
      </c>
      <c r="B103" s="16"/>
      <c r="C103" s="20" t="s">
        <v>236</v>
      </c>
      <c r="D103" s="23">
        <f t="shared" ref="D103:L103" si="51">SUM(D98:D102)</f>
        <v>68.018709095999995</v>
      </c>
      <c r="E103" s="23">
        <f t="shared" si="51"/>
        <v>76.797777562999997</v>
      </c>
      <c r="F103" s="23">
        <f t="shared" si="51"/>
        <v>90.217734455999988</v>
      </c>
      <c r="G103" s="23">
        <f t="shared" si="51"/>
        <v>160.37525185738963</v>
      </c>
      <c r="H103" s="23">
        <f t="shared" si="51"/>
        <v>270.31905506915638</v>
      </c>
      <c r="I103" s="23">
        <f t="shared" si="51"/>
        <v>388.88915540088203</v>
      </c>
      <c r="J103" s="23">
        <f t="shared" si="51"/>
        <v>519.160142952863</v>
      </c>
      <c r="K103" s="23">
        <f t="shared" si="51"/>
        <v>661.63777252721718</v>
      </c>
      <c r="L103" s="23">
        <f t="shared" si="51"/>
        <v>815.9735717397092</v>
      </c>
      <c r="M103" s="13"/>
      <c r="N103" s="13"/>
    </row>
    <row r="104" spans="1:14" ht="12.75" customHeight="1">
      <c r="A104" s="16">
        <v>25</v>
      </c>
      <c r="B104" s="16"/>
      <c r="C104" s="18" t="s">
        <v>235</v>
      </c>
      <c r="D104" s="23">
        <f t="shared" ref="D104:L104" si="52">D103+D96</f>
        <v>269.44920814599999</v>
      </c>
      <c r="E104" s="23">
        <f t="shared" si="52"/>
        <v>240.04752580600001</v>
      </c>
      <c r="F104" s="23">
        <f t="shared" si="52"/>
        <v>345.44556033100002</v>
      </c>
      <c r="G104" s="23">
        <f t="shared" si="52"/>
        <v>520.04543685669773</v>
      </c>
      <c r="H104" s="23">
        <f t="shared" si="52"/>
        <v>634.89698789005001</v>
      </c>
      <c r="I104" s="23">
        <f t="shared" si="52"/>
        <v>731.70911402827824</v>
      </c>
      <c r="J104" s="23">
        <f t="shared" si="52"/>
        <v>841.65400207068785</v>
      </c>
      <c r="K104" s="23">
        <f t="shared" si="52"/>
        <v>964.5840163399622</v>
      </c>
      <c r="L104" s="23">
        <f t="shared" si="52"/>
        <v>1099.9967826246134</v>
      </c>
      <c r="M104" s="13"/>
      <c r="N104" s="13"/>
    </row>
    <row r="105" spans="1:14" ht="12.75" customHeight="1">
      <c r="A105" s="16"/>
      <c r="B105" s="16"/>
      <c r="C105" s="18" t="s">
        <v>234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ht="12.75" customHeight="1">
      <c r="A106" s="16">
        <v>26</v>
      </c>
      <c r="B106" s="16"/>
      <c r="C106" s="15" t="s">
        <v>111</v>
      </c>
      <c r="D106" s="19">
        <f>97008184.3/$L$1</f>
        <v>9.70081843</v>
      </c>
      <c r="E106" s="19">
        <f>25578552.04/$L$1</f>
        <v>2.557855204</v>
      </c>
      <c r="F106" s="19">
        <f>76451918.94/$L$1</f>
        <v>7.6451918939999999</v>
      </c>
      <c r="G106" s="19">
        <f t="shared" ref="G106:L106" si="53">G104-G123-G138-G139-SUM(G107:G117)</f>
        <v>8.1650876283896991</v>
      </c>
      <c r="H106" s="19">
        <f t="shared" si="53"/>
        <v>7.0403088526563238</v>
      </c>
      <c r="I106" s="19">
        <f t="shared" si="53"/>
        <v>73.776868998131988</v>
      </c>
      <c r="J106" s="19">
        <f t="shared" si="53"/>
        <v>142.58249034523806</v>
      </c>
      <c r="K106" s="19">
        <f t="shared" si="53"/>
        <v>225.04912565422967</v>
      </c>
      <c r="L106" s="19">
        <f t="shared" si="53"/>
        <v>313.99343540602308</v>
      </c>
      <c r="M106" s="13"/>
      <c r="N106" s="13"/>
    </row>
    <row r="107" spans="1:14" ht="12.75" customHeight="1">
      <c r="A107" s="16">
        <v>27</v>
      </c>
      <c r="B107" s="16"/>
      <c r="C107" s="15" t="s">
        <v>112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3"/>
      <c r="N107" s="13"/>
    </row>
    <row r="108" spans="1:14" ht="12.75" customHeight="1">
      <c r="A108" s="16"/>
      <c r="B108" s="16" t="s">
        <v>74</v>
      </c>
      <c r="C108" s="15" t="s">
        <v>233</v>
      </c>
      <c r="D108" s="19">
        <f t="shared" ref="D108:L109" si="54">0/$L$1</f>
        <v>0</v>
      </c>
      <c r="E108" s="19">
        <f t="shared" si="54"/>
        <v>0</v>
      </c>
      <c r="F108" s="19">
        <f t="shared" si="54"/>
        <v>0</v>
      </c>
      <c r="G108" s="19">
        <f t="shared" si="54"/>
        <v>0</v>
      </c>
      <c r="H108" s="19">
        <f t="shared" si="54"/>
        <v>0</v>
      </c>
      <c r="I108" s="19">
        <f t="shared" si="54"/>
        <v>0</v>
      </c>
      <c r="J108" s="19">
        <f t="shared" si="54"/>
        <v>0</v>
      </c>
      <c r="K108" s="19">
        <f t="shared" si="54"/>
        <v>0</v>
      </c>
      <c r="L108" s="19">
        <f t="shared" si="54"/>
        <v>0</v>
      </c>
      <c r="M108" s="13"/>
      <c r="N108" s="13"/>
    </row>
    <row r="109" spans="1:14" ht="12.75" customHeight="1">
      <c r="A109" s="16"/>
      <c r="B109" s="16" t="s">
        <v>76</v>
      </c>
      <c r="C109" s="15" t="s">
        <v>232</v>
      </c>
      <c r="D109" s="19">
        <f t="shared" si="54"/>
        <v>0</v>
      </c>
      <c r="E109" s="19">
        <f t="shared" si="54"/>
        <v>0</v>
      </c>
      <c r="F109" s="19">
        <f t="shared" si="54"/>
        <v>0</v>
      </c>
      <c r="G109" s="19">
        <f t="shared" si="54"/>
        <v>0</v>
      </c>
      <c r="H109" s="19">
        <f t="shared" si="54"/>
        <v>0</v>
      </c>
      <c r="I109" s="19">
        <f t="shared" si="54"/>
        <v>0</v>
      </c>
      <c r="J109" s="19">
        <f t="shared" si="54"/>
        <v>0</v>
      </c>
      <c r="K109" s="19">
        <f t="shared" si="54"/>
        <v>0</v>
      </c>
      <c r="L109" s="19">
        <f t="shared" si="54"/>
        <v>0</v>
      </c>
      <c r="M109" s="13"/>
      <c r="N109" s="13"/>
    </row>
    <row r="110" spans="1:14" ht="12.75" customHeight="1">
      <c r="A110" s="16">
        <v>28</v>
      </c>
      <c r="B110" s="16" t="s">
        <v>74</v>
      </c>
      <c r="C110" s="15" t="s">
        <v>113</v>
      </c>
      <c r="D110" s="19">
        <f>91226721.08/$L$1</f>
        <v>9.1226721079999997</v>
      </c>
      <c r="E110" s="19">
        <f>318951709.01/$L$1</f>
        <v>31.895170901</v>
      </c>
      <c r="F110" s="19">
        <f>96766114.82/$L$1</f>
        <v>9.6766114819999984</v>
      </c>
      <c r="G110" s="19">
        <f>ROUND(F110*G20/F20,2)</f>
        <v>14.36</v>
      </c>
      <c r="H110" s="19">
        <f>ROUND((G110*H20/G20)*1,2)</f>
        <v>40.409999999999997</v>
      </c>
      <c r="I110" s="19">
        <f>ROUND((H110*I20/H20)*1.1,2)</f>
        <v>47.54</v>
      </c>
      <c r="J110" s="19">
        <f>ROUND((I110*J20/I20)*1.15,2)</f>
        <v>58.5</v>
      </c>
      <c r="K110" s="19">
        <f>ROUND(J110*K20/J20,2)</f>
        <v>62.63</v>
      </c>
      <c r="L110" s="19">
        <f>ROUND(K110*L20/K20,2)</f>
        <v>67.09</v>
      </c>
      <c r="M110" s="13"/>
      <c r="N110" s="13"/>
    </row>
    <row r="111" spans="1:14" ht="12.75" customHeight="1">
      <c r="A111" s="16">
        <v>29</v>
      </c>
      <c r="B111" s="16"/>
      <c r="C111" s="15" t="s">
        <v>231</v>
      </c>
      <c r="D111" s="19">
        <f t="shared" ref="D111:L111" si="55">0/$L$1</f>
        <v>0</v>
      </c>
      <c r="E111" s="19">
        <f t="shared" si="55"/>
        <v>0</v>
      </c>
      <c r="F111" s="19">
        <f t="shared" si="55"/>
        <v>0</v>
      </c>
      <c r="G111" s="19">
        <f t="shared" si="55"/>
        <v>0</v>
      </c>
      <c r="H111" s="19">
        <f t="shared" si="55"/>
        <v>0</v>
      </c>
      <c r="I111" s="19">
        <f t="shared" si="55"/>
        <v>0</v>
      </c>
      <c r="J111" s="19">
        <f t="shared" si="55"/>
        <v>0</v>
      </c>
      <c r="K111" s="19">
        <f t="shared" si="55"/>
        <v>0</v>
      </c>
      <c r="L111" s="19">
        <f t="shared" si="55"/>
        <v>0</v>
      </c>
      <c r="M111" s="13"/>
      <c r="N111" s="13"/>
    </row>
    <row r="112" spans="1:14" ht="12.75" customHeight="1">
      <c r="A112" s="16">
        <v>30</v>
      </c>
      <c r="B112" s="16"/>
      <c r="C112" s="15" t="s">
        <v>114</v>
      </c>
      <c r="D112" s="19">
        <f>740144341.37/$L$1</f>
        <v>74.014434136999995</v>
      </c>
      <c r="E112" s="19">
        <f>731459480.92/$L$1</f>
        <v>73.145948091999998</v>
      </c>
      <c r="F112" s="19">
        <f>1207657076.23/$L$1</f>
        <v>120.765707623</v>
      </c>
      <c r="G112" s="19">
        <f>(G20*150/360)</f>
        <v>145.875</v>
      </c>
      <c r="H112" s="19">
        <f>ROUND((H15+H16+H17+H18)*180/360,2)+(H19*30/360)</f>
        <v>242.56</v>
      </c>
      <c r="I112" s="19">
        <f>ROUND((I15+I16+I17+I18)*180/360,2)+(I19*30/360)</f>
        <v>264.31</v>
      </c>
      <c r="J112" s="19">
        <f>ROUND((J15+J16+J17+J18)*180/360,2)+(J19*30/360)</f>
        <v>288.125</v>
      </c>
      <c r="K112" s="19">
        <f>ROUND((K15+K16+K17+K18)*180/360,2)+(K19*30/360)</f>
        <v>314.18125000000003</v>
      </c>
      <c r="L112" s="19">
        <f>ROUND((L15+L16+L17+L18)*180/360,2)+(L19*30/360)</f>
        <v>342.70531249999999</v>
      </c>
      <c r="M112" s="13"/>
      <c r="N112" s="13"/>
    </row>
    <row r="113" spans="1:14" ht="12.75" customHeight="1">
      <c r="A113" s="16">
        <v>31</v>
      </c>
      <c r="B113" s="16"/>
      <c r="C113" s="15" t="s">
        <v>115</v>
      </c>
      <c r="D113" s="19">
        <f>0/$L$1</f>
        <v>0</v>
      </c>
      <c r="E113" s="19">
        <f>0/$L$1</f>
        <v>0</v>
      </c>
      <c r="F113" s="19">
        <f>7598362.5/$L$1</f>
        <v>0.75983624999999999</v>
      </c>
      <c r="G113" s="19">
        <f t="shared" ref="G113:L113" si="56">ROUND(F113*1.1,20)</f>
        <v>0.83581987499999999</v>
      </c>
      <c r="H113" s="19">
        <f t="shared" si="56"/>
        <v>0.9194018625</v>
      </c>
      <c r="I113" s="19">
        <f t="shared" si="56"/>
        <v>1.01134204875</v>
      </c>
      <c r="J113" s="19">
        <f t="shared" si="56"/>
        <v>1.1124762536249999</v>
      </c>
      <c r="K113" s="19">
        <f t="shared" si="56"/>
        <v>1.2237238789875</v>
      </c>
      <c r="L113" s="19">
        <f t="shared" si="56"/>
        <v>1.3460962668862499</v>
      </c>
      <c r="M113" s="13"/>
      <c r="N113" s="13"/>
    </row>
    <row r="114" spans="1:14" ht="12.75" customHeight="1">
      <c r="A114" s="16">
        <v>32</v>
      </c>
      <c r="B114" s="16"/>
      <c r="C114" s="15" t="s">
        <v>116</v>
      </c>
      <c r="D114" s="19">
        <f>0/$L$1</f>
        <v>0</v>
      </c>
      <c r="E114" s="19">
        <f>0/$L$1</f>
        <v>0</v>
      </c>
      <c r="F114" s="19">
        <f t="shared" ref="F114:L114" si="57">0/$L$1</f>
        <v>0</v>
      </c>
      <c r="G114" s="19">
        <f t="shared" si="57"/>
        <v>0</v>
      </c>
      <c r="H114" s="19">
        <f t="shared" si="57"/>
        <v>0</v>
      </c>
      <c r="I114" s="19">
        <f t="shared" si="57"/>
        <v>0</v>
      </c>
      <c r="J114" s="19">
        <f t="shared" si="57"/>
        <v>0</v>
      </c>
      <c r="K114" s="19">
        <f t="shared" si="57"/>
        <v>0</v>
      </c>
      <c r="L114" s="19">
        <f t="shared" si="57"/>
        <v>0</v>
      </c>
      <c r="M114" s="13"/>
      <c r="N114" s="13"/>
    </row>
    <row r="115" spans="1:14" ht="13.5" customHeight="1">
      <c r="A115" s="16">
        <v>33</v>
      </c>
      <c r="B115" s="16"/>
      <c r="C115" s="22" t="s">
        <v>230</v>
      </c>
      <c r="D115" s="15"/>
      <c r="E115" s="15"/>
      <c r="F115" s="15"/>
      <c r="G115" s="13"/>
      <c r="H115" s="13"/>
      <c r="I115" s="13"/>
      <c r="J115" s="13"/>
      <c r="K115" s="13"/>
      <c r="L115" s="13"/>
      <c r="M115" s="13"/>
      <c r="N115" s="13"/>
    </row>
    <row r="116" spans="1:14" ht="12.75" customHeight="1">
      <c r="A116" s="16"/>
      <c r="B116" s="16"/>
      <c r="C116" s="15" t="s">
        <v>117</v>
      </c>
      <c r="D116" s="19">
        <f>0/$L$1</f>
        <v>0</v>
      </c>
      <c r="E116" s="19">
        <f>40100000/$L$1</f>
        <v>4.01</v>
      </c>
      <c r="F116" s="19">
        <f t="shared" ref="F116:L116" si="58">0/$L$1</f>
        <v>0</v>
      </c>
      <c r="G116" s="19">
        <f t="shared" si="58"/>
        <v>0</v>
      </c>
      <c r="H116" s="19">
        <f t="shared" si="58"/>
        <v>0</v>
      </c>
      <c r="I116" s="19">
        <f t="shared" si="58"/>
        <v>0</v>
      </c>
      <c r="J116" s="19">
        <f t="shared" si="58"/>
        <v>0</v>
      </c>
      <c r="K116" s="19">
        <f t="shared" si="58"/>
        <v>0</v>
      </c>
      <c r="L116" s="19">
        <f t="shared" si="58"/>
        <v>0</v>
      </c>
      <c r="M116" s="13"/>
      <c r="N116" s="13"/>
    </row>
    <row r="117" spans="1:14" ht="12.75" customHeight="1">
      <c r="A117" s="16"/>
      <c r="B117" s="16"/>
      <c r="C117" s="15" t="s">
        <v>118</v>
      </c>
      <c r="D117" s="19">
        <f>4048131.39/$L$1</f>
        <v>0.40481313899999999</v>
      </c>
      <c r="E117" s="19">
        <f>(84296750+464133+6631646.29)/$L$1</f>
        <v>9.1392529290000013</v>
      </c>
      <c r="F117" s="19">
        <f>(37864002.91+62754410)/$L$1</f>
        <v>10.061841291</v>
      </c>
      <c r="G117" s="19">
        <f t="shared" ref="G117:L117" si="59">G80+(20000000/$L$1)</f>
        <v>11.626721899308009</v>
      </c>
      <c r="H117" s="19">
        <f t="shared" si="59"/>
        <v>32.10446972089364</v>
      </c>
      <c r="I117" s="19">
        <f t="shared" si="59"/>
        <v>34.466495527396219</v>
      </c>
      <c r="J117" s="19">
        <f t="shared" si="59"/>
        <v>37.670396017824842</v>
      </c>
      <c r="K117" s="19">
        <f t="shared" si="59"/>
        <v>41.012780712745013</v>
      </c>
      <c r="L117" s="19">
        <f t="shared" si="59"/>
        <v>44.259747784904057</v>
      </c>
      <c r="M117" s="13"/>
      <c r="N117" s="13"/>
    </row>
    <row r="118" spans="1:14" ht="12.75" customHeight="1">
      <c r="A118" s="16">
        <v>34</v>
      </c>
      <c r="B118" s="16"/>
      <c r="C118" s="18" t="s">
        <v>229</v>
      </c>
      <c r="D118" s="17">
        <f t="shared" ref="D118:L118" si="60">SUM(D106:D117)</f>
        <v>93.242737813999995</v>
      </c>
      <c r="E118" s="17">
        <f t="shared" si="60"/>
        <v>120.74822712599999</v>
      </c>
      <c r="F118" s="17">
        <f t="shared" si="60"/>
        <v>148.90918854</v>
      </c>
      <c r="G118" s="17">
        <f t="shared" si="60"/>
        <v>180.86262940269773</v>
      </c>
      <c r="H118" s="17">
        <f t="shared" si="60"/>
        <v>323.03418043604995</v>
      </c>
      <c r="I118" s="17">
        <f t="shared" si="60"/>
        <v>421.10470657427817</v>
      </c>
      <c r="J118" s="17">
        <f t="shared" si="60"/>
        <v>527.99036261668789</v>
      </c>
      <c r="K118" s="17">
        <f t="shared" si="60"/>
        <v>644.09688024596221</v>
      </c>
      <c r="L118" s="17">
        <f t="shared" si="60"/>
        <v>769.39459195781342</v>
      </c>
      <c r="M118" s="13"/>
      <c r="N118" s="13"/>
    </row>
    <row r="119" spans="1:14" ht="12.75" customHeight="1">
      <c r="A119" s="16"/>
      <c r="B119" s="16"/>
      <c r="C119" s="18" t="s">
        <v>228</v>
      </c>
      <c r="D119" s="15"/>
      <c r="E119" s="15"/>
      <c r="F119" s="15"/>
      <c r="G119" s="13"/>
      <c r="H119" s="14"/>
      <c r="I119" s="13"/>
      <c r="J119" s="13"/>
      <c r="K119" s="13"/>
      <c r="L119" s="13"/>
      <c r="M119" s="13"/>
      <c r="N119" s="13"/>
    </row>
    <row r="120" spans="1:14" ht="12.75" customHeight="1">
      <c r="A120" s="16">
        <v>35</v>
      </c>
      <c r="B120" s="21" t="s">
        <v>227</v>
      </c>
      <c r="C120" s="15" t="s">
        <v>226</v>
      </c>
      <c r="D120" s="19">
        <f>(1830086817.22)/$L$1</f>
        <v>183.00868172200001</v>
      </c>
      <c r="E120" s="19">
        <f>(1768152909.42)/$L$1</f>
        <v>176.81529094200002</v>
      </c>
      <c r="F120" s="19">
        <f>1841699052.37/$L$1</f>
        <v>184.16990523699999</v>
      </c>
      <c r="G120" s="19">
        <f>F120+(300000000/L1)</f>
        <v>214.16990523699999</v>
      </c>
      <c r="H120" s="19">
        <f>G120+G121</f>
        <v>439.16990523699997</v>
      </c>
      <c r="I120" s="19">
        <f>H120+H121+(300000000/$L$1)</f>
        <v>489.16990523699997</v>
      </c>
      <c r="J120" s="19">
        <f>I120+I121+(300000000/$L$1)</f>
        <v>529.16990523699997</v>
      </c>
      <c r="K120" s="19">
        <f>J120+J121+(300000000/$L$1)</f>
        <v>568.16990523699997</v>
      </c>
      <c r="L120" s="19">
        <f>K120+K121+(300000000/$L$1)</f>
        <v>606.26990523699999</v>
      </c>
      <c r="M120" s="13"/>
      <c r="N120" s="13"/>
    </row>
    <row r="121" spans="1:14" ht="12.75" customHeight="1">
      <c r="A121" s="16"/>
      <c r="B121" s="21" t="s">
        <v>225</v>
      </c>
      <c r="C121" s="15" t="s">
        <v>224</v>
      </c>
      <c r="D121" s="19">
        <f>(4028653.6)/$L$1</f>
        <v>0.40286536000000001</v>
      </c>
      <c r="E121" s="19">
        <f>(53168902.34)/$L$1</f>
        <v>5.3168902340000006</v>
      </c>
      <c r="F121" s="19">
        <f>979125196.54/$L$1</f>
        <v>97.912519653999993</v>
      </c>
      <c r="G121" s="19">
        <f>2250000000/$L$1</f>
        <v>225</v>
      </c>
      <c r="H121" s="19">
        <f>200000000/$L$1</f>
        <v>20</v>
      </c>
      <c r="I121" s="19">
        <f>100000000/$L$1</f>
        <v>10</v>
      </c>
      <c r="J121" s="19">
        <f>ROUND(I121*0.9,2)</f>
        <v>9</v>
      </c>
      <c r="K121" s="19">
        <f>ROUND(J121*0.9,2)</f>
        <v>8.1</v>
      </c>
      <c r="L121" s="19">
        <f>ROUND(K121*0.9,2)</f>
        <v>7.29</v>
      </c>
      <c r="M121" s="13"/>
      <c r="N121" s="13"/>
    </row>
    <row r="122" spans="1:14" ht="12.75" customHeight="1">
      <c r="A122" s="16">
        <v>36</v>
      </c>
      <c r="B122" s="16"/>
      <c r="C122" s="15" t="s">
        <v>223</v>
      </c>
      <c r="D122" s="19">
        <f>732862178.22/$L$1</f>
        <v>73.286217821999998</v>
      </c>
      <c r="E122" s="19">
        <f>901259717.83/$L$1</f>
        <v>90.125971783000011</v>
      </c>
      <c r="F122" s="19">
        <f>1042501388.83/$L$1</f>
        <v>104.25013888300001</v>
      </c>
      <c r="G122" s="19">
        <f t="shared" ref="G122:L122" si="61">F122+G47</f>
        <v>116.25013888300001</v>
      </c>
      <c r="H122" s="19">
        <f t="shared" si="61"/>
        <v>164.25013888300001</v>
      </c>
      <c r="I122" s="19">
        <f t="shared" si="61"/>
        <v>206.25013888300001</v>
      </c>
      <c r="J122" s="19">
        <f t="shared" si="61"/>
        <v>243.00013888300001</v>
      </c>
      <c r="K122" s="19">
        <f t="shared" si="61"/>
        <v>275.160138883</v>
      </c>
      <c r="L122" s="19">
        <f t="shared" si="61"/>
        <v>303.30013888299999</v>
      </c>
      <c r="M122" s="13"/>
      <c r="N122" s="13"/>
    </row>
    <row r="123" spans="1:14" ht="12.75" customHeight="1">
      <c r="A123" s="16">
        <v>37</v>
      </c>
      <c r="B123" s="16"/>
      <c r="C123" s="20" t="s">
        <v>222</v>
      </c>
      <c r="D123" s="17">
        <f t="shared" ref="D123:L123" si="62">D120+D121-D122</f>
        <v>110.12532926</v>
      </c>
      <c r="E123" s="17">
        <f t="shared" si="62"/>
        <v>92.006209393000006</v>
      </c>
      <c r="F123" s="17">
        <f t="shared" si="62"/>
        <v>177.83228600799995</v>
      </c>
      <c r="G123" s="17">
        <f t="shared" si="62"/>
        <v>322.91976635399999</v>
      </c>
      <c r="H123" s="17">
        <f t="shared" si="62"/>
        <v>294.91976635399999</v>
      </c>
      <c r="I123" s="17">
        <f t="shared" si="62"/>
        <v>292.91976635399999</v>
      </c>
      <c r="J123" s="17">
        <f t="shared" si="62"/>
        <v>295.16976635399999</v>
      </c>
      <c r="K123" s="17">
        <f t="shared" si="62"/>
        <v>301.10976635399999</v>
      </c>
      <c r="L123" s="17">
        <f t="shared" si="62"/>
        <v>310.25976635399996</v>
      </c>
      <c r="M123" s="13"/>
      <c r="N123" s="13"/>
    </row>
    <row r="124" spans="1:14" ht="12.75" customHeight="1">
      <c r="A124" s="16"/>
      <c r="B124" s="16"/>
      <c r="C124" s="18" t="s">
        <v>221</v>
      </c>
      <c r="D124" s="15"/>
      <c r="E124" s="15"/>
      <c r="F124" s="15"/>
      <c r="G124" s="13"/>
      <c r="H124" s="13"/>
      <c r="I124" s="13"/>
      <c r="J124" s="13"/>
      <c r="K124" s="13"/>
      <c r="L124" s="13"/>
      <c r="M124" s="13"/>
      <c r="N124" s="13"/>
    </row>
    <row r="125" spans="1:14" ht="12.75" customHeight="1">
      <c r="A125" s="16">
        <v>38</v>
      </c>
      <c r="B125" s="16"/>
      <c r="C125" s="15" t="s">
        <v>220</v>
      </c>
      <c r="D125" s="15"/>
      <c r="E125" s="15"/>
      <c r="F125" s="15"/>
      <c r="G125" s="13"/>
      <c r="H125" s="13"/>
      <c r="I125" s="13"/>
      <c r="J125" s="13"/>
      <c r="K125" s="13"/>
      <c r="L125" s="13"/>
      <c r="M125" s="13"/>
      <c r="N125" s="13"/>
    </row>
    <row r="126" spans="1:14" ht="12.75" customHeight="1">
      <c r="A126" s="16"/>
      <c r="B126" s="16" t="s">
        <v>219</v>
      </c>
      <c r="C126" s="15" t="s">
        <v>144</v>
      </c>
      <c r="D126" s="15"/>
      <c r="E126" s="15"/>
      <c r="F126" s="15"/>
      <c r="G126" s="13"/>
      <c r="H126" s="13"/>
      <c r="I126" s="13"/>
      <c r="J126" s="13"/>
      <c r="K126" s="13"/>
      <c r="L126" s="13"/>
      <c r="M126" s="13"/>
      <c r="N126" s="13"/>
    </row>
    <row r="127" spans="1:14" ht="12.75" customHeight="1">
      <c r="A127" s="16"/>
      <c r="B127" s="16"/>
      <c r="C127" s="15" t="s">
        <v>218</v>
      </c>
      <c r="D127" s="19">
        <f>(894000+894000+21747000+2870411+35425000+1560000)/$L$1</f>
        <v>6.3390411000000002</v>
      </c>
      <c r="E127" s="19">
        <f>(894000+894000+21747000+2870411+35425000)/$L$1</f>
        <v>6.1830410999999996</v>
      </c>
      <c r="F127" s="19">
        <f>62630411/$L$1</f>
        <v>6.2630410999999997</v>
      </c>
      <c r="G127" s="19">
        <f t="shared" ref="G127:L127" si="63">F127</f>
        <v>6.2630410999999997</v>
      </c>
      <c r="H127" s="19">
        <f t="shared" si="63"/>
        <v>6.2630410999999997</v>
      </c>
      <c r="I127" s="19">
        <f t="shared" si="63"/>
        <v>6.2630410999999997</v>
      </c>
      <c r="J127" s="19">
        <f t="shared" si="63"/>
        <v>6.2630410999999997</v>
      </c>
      <c r="K127" s="19">
        <f t="shared" si="63"/>
        <v>6.2630410999999997</v>
      </c>
      <c r="L127" s="19">
        <f t="shared" si="63"/>
        <v>6.2630410999999997</v>
      </c>
      <c r="M127" s="13"/>
      <c r="N127" s="13"/>
    </row>
    <row r="128" spans="1:14" ht="12.75" customHeight="1">
      <c r="A128" s="16"/>
      <c r="B128" s="16" t="s">
        <v>190</v>
      </c>
      <c r="C128" s="15" t="s">
        <v>210</v>
      </c>
      <c r="D128" s="19">
        <f t="shared" ref="D128:L128" si="64">0/$L$1</f>
        <v>0</v>
      </c>
      <c r="E128" s="19">
        <f t="shared" si="64"/>
        <v>0</v>
      </c>
      <c r="F128" s="19">
        <f t="shared" si="64"/>
        <v>0</v>
      </c>
      <c r="G128" s="19">
        <f t="shared" si="64"/>
        <v>0</v>
      </c>
      <c r="H128" s="19">
        <f t="shared" si="64"/>
        <v>0</v>
      </c>
      <c r="I128" s="19">
        <f t="shared" si="64"/>
        <v>0</v>
      </c>
      <c r="J128" s="19">
        <f t="shared" si="64"/>
        <v>0</v>
      </c>
      <c r="K128" s="19">
        <f t="shared" si="64"/>
        <v>0</v>
      </c>
      <c r="L128" s="19">
        <f t="shared" si="64"/>
        <v>0</v>
      </c>
      <c r="M128" s="13"/>
      <c r="N128" s="13"/>
    </row>
    <row r="129" spans="1:14" ht="12.75" customHeight="1">
      <c r="A129" s="16"/>
      <c r="B129" s="16" t="s">
        <v>76</v>
      </c>
      <c r="C129" s="15" t="s">
        <v>148</v>
      </c>
      <c r="D129" s="19">
        <f>1650000/$L$1</f>
        <v>0.16500000000000001</v>
      </c>
      <c r="E129" s="19">
        <f>1650000/$L$1</f>
        <v>0.16500000000000001</v>
      </c>
      <c r="F129" s="19">
        <f>1081757/$L$1</f>
        <v>0.1081757</v>
      </c>
      <c r="G129" s="19">
        <f t="shared" ref="G129:L131" si="65">0/$L$1</f>
        <v>0</v>
      </c>
      <c r="H129" s="19">
        <f t="shared" si="65"/>
        <v>0</v>
      </c>
      <c r="I129" s="19">
        <f t="shared" si="65"/>
        <v>0</v>
      </c>
      <c r="J129" s="19">
        <f t="shared" si="65"/>
        <v>0</v>
      </c>
      <c r="K129" s="19">
        <f t="shared" si="65"/>
        <v>0</v>
      </c>
      <c r="L129" s="19">
        <f t="shared" si="65"/>
        <v>0</v>
      </c>
      <c r="M129" s="13"/>
      <c r="N129" s="13"/>
    </row>
    <row r="130" spans="1:14" ht="12.75" customHeight="1">
      <c r="A130" s="16"/>
      <c r="B130" s="16" t="s">
        <v>78</v>
      </c>
      <c r="C130" s="15" t="s">
        <v>217</v>
      </c>
      <c r="D130" s="19">
        <f t="shared" ref="D130:F131" si="66">0/$L$1</f>
        <v>0</v>
      </c>
      <c r="E130" s="19">
        <f t="shared" si="66"/>
        <v>0</v>
      </c>
      <c r="F130" s="19">
        <f t="shared" si="66"/>
        <v>0</v>
      </c>
      <c r="G130" s="19">
        <f t="shared" si="65"/>
        <v>0</v>
      </c>
      <c r="H130" s="19">
        <f t="shared" si="65"/>
        <v>0</v>
      </c>
      <c r="I130" s="19">
        <f t="shared" si="65"/>
        <v>0</v>
      </c>
      <c r="J130" s="19">
        <f t="shared" si="65"/>
        <v>0</v>
      </c>
      <c r="K130" s="19">
        <f t="shared" si="65"/>
        <v>0</v>
      </c>
      <c r="L130" s="19">
        <f t="shared" si="65"/>
        <v>0</v>
      </c>
      <c r="M130" s="13"/>
      <c r="N130" s="13"/>
    </row>
    <row r="131" spans="1:14" ht="12.75" customHeight="1">
      <c r="A131" s="16"/>
      <c r="B131" s="16" t="s">
        <v>80</v>
      </c>
      <c r="C131" s="15" t="s">
        <v>216</v>
      </c>
      <c r="D131" s="19">
        <f t="shared" si="66"/>
        <v>0</v>
      </c>
      <c r="E131" s="19">
        <f t="shared" si="66"/>
        <v>0</v>
      </c>
      <c r="F131" s="19">
        <f t="shared" si="66"/>
        <v>0</v>
      </c>
      <c r="G131" s="19">
        <f t="shared" si="65"/>
        <v>0</v>
      </c>
      <c r="H131" s="19">
        <f t="shared" si="65"/>
        <v>0</v>
      </c>
      <c r="I131" s="19">
        <f t="shared" si="65"/>
        <v>0</v>
      </c>
      <c r="J131" s="19">
        <f t="shared" si="65"/>
        <v>0</v>
      </c>
      <c r="K131" s="19">
        <f t="shared" si="65"/>
        <v>0</v>
      </c>
      <c r="L131" s="19">
        <f t="shared" si="65"/>
        <v>0</v>
      </c>
      <c r="M131" s="13"/>
      <c r="N131" s="13"/>
    </row>
    <row r="132" spans="1:14" ht="12.75" customHeight="1">
      <c r="A132" s="16"/>
      <c r="B132" s="16" t="s">
        <v>82</v>
      </c>
      <c r="C132" s="15" t="s">
        <v>215</v>
      </c>
      <c r="D132" s="19">
        <f>43995401.81/$L$1</f>
        <v>4.3995401809999999</v>
      </c>
      <c r="E132" s="19">
        <f>62596214.01/$L$1</f>
        <v>6.2596214009999995</v>
      </c>
      <c r="F132" s="19">
        <f>57062874.61/$L$1</f>
        <v>5.7062874609999996</v>
      </c>
      <c r="G132" s="19">
        <f>60000000/L1</f>
        <v>6</v>
      </c>
      <c r="H132" s="19">
        <f>ROUND(G132*1.1,20)</f>
        <v>6.6</v>
      </c>
      <c r="I132" s="19">
        <f>ROUND(H132*1.1,20)</f>
        <v>7.26</v>
      </c>
      <c r="J132" s="19">
        <f>ROUND(I132*1.1,20)</f>
        <v>7.9859999999999998</v>
      </c>
      <c r="K132" s="19">
        <f>ROUND(J132*1.1,20)</f>
        <v>8.7845999999999993</v>
      </c>
      <c r="L132" s="19">
        <f>ROUND(K132*1.1,20)</f>
        <v>9.6630599999999998</v>
      </c>
      <c r="M132" s="13"/>
      <c r="N132" s="13"/>
    </row>
    <row r="133" spans="1:14" ht="12.75" customHeight="1">
      <c r="A133" s="16"/>
      <c r="B133" s="16" t="s">
        <v>180</v>
      </c>
      <c r="C133" s="15" t="s">
        <v>214</v>
      </c>
      <c r="D133" s="19">
        <f t="shared" ref="D133:L134" si="67">0/$L$1</f>
        <v>0</v>
      </c>
      <c r="E133" s="19">
        <f t="shared" si="67"/>
        <v>0</v>
      </c>
      <c r="F133" s="19">
        <f t="shared" si="67"/>
        <v>0</v>
      </c>
      <c r="G133" s="19">
        <f t="shared" si="67"/>
        <v>0</v>
      </c>
      <c r="H133" s="19">
        <f t="shared" si="67"/>
        <v>0</v>
      </c>
      <c r="I133" s="19">
        <f t="shared" si="67"/>
        <v>0</v>
      </c>
      <c r="J133" s="19">
        <f t="shared" si="67"/>
        <v>0</v>
      </c>
      <c r="K133" s="19">
        <f t="shared" si="67"/>
        <v>0</v>
      </c>
      <c r="L133" s="19">
        <f t="shared" si="67"/>
        <v>0</v>
      </c>
      <c r="M133" s="13"/>
      <c r="N133" s="13"/>
    </row>
    <row r="134" spans="1:14" ht="12.75" customHeight="1">
      <c r="A134" s="16"/>
      <c r="B134" s="16" t="s">
        <v>213</v>
      </c>
      <c r="C134" s="15" t="s">
        <v>212</v>
      </c>
      <c r="D134" s="19">
        <f t="shared" si="67"/>
        <v>0</v>
      </c>
      <c r="E134" s="19">
        <f t="shared" si="67"/>
        <v>0</v>
      </c>
      <c r="F134" s="19">
        <f t="shared" si="67"/>
        <v>0</v>
      </c>
      <c r="G134" s="19">
        <f t="shared" si="67"/>
        <v>0</v>
      </c>
      <c r="H134" s="19">
        <f t="shared" si="67"/>
        <v>0</v>
      </c>
      <c r="I134" s="19">
        <f t="shared" si="67"/>
        <v>0</v>
      </c>
      <c r="J134" s="19">
        <f t="shared" si="67"/>
        <v>0</v>
      </c>
      <c r="K134" s="19">
        <f t="shared" si="67"/>
        <v>0</v>
      </c>
      <c r="L134" s="19">
        <f t="shared" si="67"/>
        <v>0</v>
      </c>
      <c r="M134" s="13"/>
      <c r="N134" s="13"/>
    </row>
    <row r="135" spans="1:14" ht="12.75" customHeight="1">
      <c r="A135" s="16"/>
      <c r="B135" s="16" t="s">
        <v>211</v>
      </c>
      <c r="C135" s="15" t="s">
        <v>210</v>
      </c>
      <c r="D135" s="19">
        <f>(419000+269785811.17)/$L$1</f>
        <v>27.020481117000003</v>
      </c>
      <c r="E135" s="19">
        <f t="shared" ref="E135:L135" si="68">0/$L$1</f>
        <v>0</v>
      </c>
      <c r="F135" s="19">
        <f t="shared" si="68"/>
        <v>0</v>
      </c>
      <c r="G135" s="19">
        <f t="shared" si="68"/>
        <v>0</v>
      </c>
      <c r="H135" s="19">
        <f t="shared" si="68"/>
        <v>0</v>
      </c>
      <c r="I135" s="19">
        <f t="shared" si="68"/>
        <v>0</v>
      </c>
      <c r="J135" s="19">
        <f t="shared" si="68"/>
        <v>0</v>
      </c>
      <c r="K135" s="19">
        <f t="shared" si="68"/>
        <v>0</v>
      </c>
      <c r="L135" s="19">
        <f t="shared" si="68"/>
        <v>0</v>
      </c>
      <c r="M135" s="13"/>
      <c r="N135" s="13"/>
    </row>
    <row r="136" spans="1:14" ht="12.75" customHeight="1">
      <c r="A136" s="16">
        <v>39</v>
      </c>
      <c r="B136" s="16"/>
      <c r="C136" s="15" t="s">
        <v>209</v>
      </c>
      <c r="D136" s="19">
        <f>11413407.74/$L$1</f>
        <v>1.1413407740000001</v>
      </c>
      <c r="E136" s="19">
        <f>668888.87/$L$1</f>
        <v>6.6888886999999994E-2</v>
      </c>
      <c r="F136" s="19">
        <f t="shared" ref="F136:L136" si="69">0/$L$1</f>
        <v>0</v>
      </c>
      <c r="G136" s="19">
        <f t="shared" si="69"/>
        <v>0</v>
      </c>
      <c r="H136" s="19">
        <f t="shared" si="69"/>
        <v>0</v>
      </c>
      <c r="I136" s="19">
        <f t="shared" si="69"/>
        <v>0</v>
      </c>
      <c r="J136" s="19">
        <f t="shared" si="69"/>
        <v>0</v>
      </c>
      <c r="K136" s="19">
        <f t="shared" si="69"/>
        <v>0</v>
      </c>
      <c r="L136" s="19">
        <f t="shared" si="69"/>
        <v>0</v>
      </c>
      <c r="M136" s="13"/>
      <c r="N136" s="13"/>
    </row>
    <row r="137" spans="1:14" ht="12.75" customHeight="1">
      <c r="A137" s="16">
        <v>40</v>
      </c>
      <c r="B137" s="16"/>
      <c r="C137" s="15" t="s">
        <v>208</v>
      </c>
      <c r="D137" s="19">
        <f>(177438000+92719379)/$L$1</f>
        <v>27.015737900000001</v>
      </c>
      <c r="E137" s="19">
        <f>(72621000+73565379)/$L$1</f>
        <v>14.6186379</v>
      </c>
      <c r="F137" s="19">
        <f>(66265815)/$L$1</f>
        <v>6.6265815000000003</v>
      </c>
      <c r="G137" s="19">
        <f>40000000/$L$1</f>
        <v>4</v>
      </c>
      <c r="H137" s="19">
        <f>ROUND(G137*1.02,20)</f>
        <v>4.08</v>
      </c>
      <c r="I137" s="19">
        <f>ROUND(H137*1.02,20)</f>
        <v>4.1616</v>
      </c>
      <c r="J137" s="19">
        <f>ROUND(I137*1.02,20)</f>
        <v>4.2448319999999997</v>
      </c>
      <c r="K137" s="19">
        <f>ROUND(J137*1.02,20)</f>
        <v>4.3297286399999999</v>
      </c>
      <c r="L137" s="19">
        <f>ROUND(K137*1.02,20)</f>
        <v>4.4163232128000001</v>
      </c>
      <c r="M137" s="13"/>
      <c r="N137" s="13"/>
    </row>
    <row r="138" spans="1:14" ht="12.75" customHeight="1">
      <c r="A138" s="16">
        <v>41</v>
      </c>
      <c r="B138" s="16"/>
      <c r="C138" s="15" t="s">
        <v>207</v>
      </c>
      <c r="D138" s="17">
        <f t="shared" ref="D138:L138" si="70">SUM(D126:D137)</f>
        <v>66.081141072000008</v>
      </c>
      <c r="E138" s="17">
        <f t="shared" si="70"/>
        <v>27.293189288000001</v>
      </c>
      <c r="F138" s="17">
        <f t="shared" si="70"/>
        <v>18.704085761000002</v>
      </c>
      <c r="G138" s="17">
        <f t="shared" si="70"/>
        <v>16.263041099999999</v>
      </c>
      <c r="H138" s="17">
        <f t="shared" si="70"/>
        <v>16.943041100000002</v>
      </c>
      <c r="I138" s="17">
        <f t="shared" si="70"/>
        <v>17.6846411</v>
      </c>
      <c r="J138" s="17">
        <f t="shared" si="70"/>
        <v>18.493873099999998</v>
      </c>
      <c r="K138" s="17">
        <f t="shared" si="70"/>
        <v>19.377369739999999</v>
      </c>
      <c r="L138" s="17">
        <f t="shared" si="70"/>
        <v>20.342424312799999</v>
      </c>
      <c r="M138" s="13"/>
      <c r="N138" s="13"/>
    </row>
    <row r="139" spans="1:14" ht="12.75" customHeight="1">
      <c r="A139" s="16">
        <v>42</v>
      </c>
      <c r="B139" s="16"/>
      <c r="C139" s="15" t="s">
        <v>206</v>
      </c>
      <c r="D139" s="15">
        <v>0</v>
      </c>
      <c r="E139" s="15">
        <v>0</v>
      </c>
      <c r="F139" s="15">
        <v>0</v>
      </c>
      <c r="G139" s="13"/>
      <c r="H139" s="13"/>
      <c r="I139" s="13"/>
      <c r="J139" s="13"/>
      <c r="K139" s="13"/>
      <c r="L139" s="13"/>
      <c r="M139" s="13"/>
      <c r="N139" s="13"/>
    </row>
    <row r="140" spans="1:14" ht="12.75" customHeight="1">
      <c r="A140" s="16">
        <v>43</v>
      </c>
      <c r="B140" s="16"/>
      <c r="C140" s="18" t="s">
        <v>205</v>
      </c>
      <c r="D140" s="17">
        <f t="shared" ref="D140:L140" si="71">SUM(D118+D123+D138+D139)</f>
        <v>269.44920814600005</v>
      </c>
      <c r="E140" s="17">
        <f t="shared" si="71"/>
        <v>240.047625807</v>
      </c>
      <c r="F140" s="17">
        <f t="shared" si="71"/>
        <v>345.44556030899992</v>
      </c>
      <c r="G140" s="17">
        <f t="shared" si="71"/>
        <v>520.04543685669773</v>
      </c>
      <c r="H140" s="17">
        <f t="shared" si="71"/>
        <v>634.8969878900499</v>
      </c>
      <c r="I140" s="17">
        <f t="shared" si="71"/>
        <v>731.70911402827812</v>
      </c>
      <c r="J140" s="17">
        <f t="shared" si="71"/>
        <v>841.65400207068785</v>
      </c>
      <c r="K140" s="17">
        <f t="shared" si="71"/>
        <v>964.58401633996209</v>
      </c>
      <c r="L140" s="17">
        <f t="shared" si="71"/>
        <v>1099.9967826246134</v>
      </c>
      <c r="M140" s="13"/>
      <c r="N140" s="13"/>
    </row>
    <row r="141" spans="1:14" ht="12.75" customHeight="1">
      <c r="A141" s="13"/>
      <c r="B141" s="16"/>
      <c r="C141" s="15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spans="1:14" ht="12.75" customHeight="1">
      <c r="A142" s="13"/>
      <c r="B142" s="16"/>
      <c r="C142" s="15"/>
      <c r="D142" s="14">
        <f t="shared" ref="D142:L142" si="72">D140-D104</f>
        <v>0</v>
      </c>
      <c r="E142" s="14">
        <f t="shared" si="72"/>
        <v>1.0000099999274425E-4</v>
      </c>
      <c r="F142" s="14">
        <f t="shared" si="72"/>
        <v>-2.2000108401698526E-8</v>
      </c>
      <c r="G142" s="14">
        <f t="shared" si="72"/>
        <v>0</v>
      </c>
      <c r="H142" s="14">
        <f t="shared" si="72"/>
        <v>0</v>
      </c>
      <c r="I142" s="14">
        <f t="shared" si="72"/>
        <v>0</v>
      </c>
      <c r="J142" s="14">
        <f t="shared" si="72"/>
        <v>0</v>
      </c>
      <c r="K142" s="14">
        <f t="shared" si="72"/>
        <v>0</v>
      </c>
      <c r="L142" s="14">
        <f t="shared" si="72"/>
        <v>0</v>
      </c>
      <c r="M142" s="13"/>
      <c r="N142" s="13"/>
    </row>
    <row r="143" spans="1:14" ht="12.75" customHeight="1">
      <c r="A143" s="13"/>
      <c r="B143" s="16"/>
      <c r="C143" s="15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spans="1:14" ht="12.75" customHeight="1">
      <c r="A144" s="13"/>
      <c r="B144" s="16"/>
      <c r="C144" s="15"/>
      <c r="D144" s="13"/>
      <c r="E144" s="13"/>
      <c r="F144" s="13"/>
      <c r="G144" s="14">
        <f t="shared" ref="G144:L144" si="73">(SUM(G107:G117)-SUM(G76:G85))-(SUM(F107:F117)-SUM(F76:F85))</f>
        <v>18.802095790000024</v>
      </c>
      <c r="H144" s="14">
        <f t="shared" si="73"/>
        <v>108.44858198750001</v>
      </c>
      <c r="I144" s="14">
        <f t="shared" si="73"/>
        <v>23.161940186249979</v>
      </c>
      <c r="J144" s="14">
        <f t="shared" si="73"/>
        <v>28.486134204875015</v>
      </c>
      <c r="K144" s="14">
        <f t="shared" si="73"/>
        <v>23.267497625362495</v>
      </c>
      <c r="L144" s="14">
        <f t="shared" si="73"/>
        <v>25.366434887898777</v>
      </c>
      <c r="M144" s="13"/>
      <c r="N144" s="13"/>
    </row>
  </sheetData>
  <mergeCells count="18">
    <mergeCell ref="B31:C31"/>
    <mergeCell ref="A74:L74"/>
    <mergeCell ref="K6:L6"/>
    <mergeCell ref="B21:C21"/>
    <mergeCell ref="B27:C27"/>
    <mergeCell ref="B26:C26"/>
    <mergeCell ref="A30:C30"/>
    <mergeCell ref="A5:L5"/>
    <mergeCell ref="A2:L2"/>
    <mergeCell ref="A3:L3"/>
    <mergeCell ref="B14:C14"/>
    <mergeCell ref="A7:C9"/>
    <mergeCell ref="B13:C13"/>
    <mergeCell ref="A12:F12"/>
    <mergeCell ref="A11:L11"/>
    <mergeCell ref="D8:F8"/>
    <mergeCell ref="G8:L8"/>
    <mergeCell ref="A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Summary</vt:lpstr>
      <vt:lpstr>PL</vt:lpstr>
      <vt:lpstr>BS</vt:lpstr>
      <vt:lpstr>CFS</vt:lpstr>
      <vt:lpstr>Ethanol</vt:lpstr>
      <vt:lpstr>Sugar</vt:lpstr>
      <vt:lpstr>Power</vt:lpstr>
      <vt:lpstr>Employee</vt:lpstr>
      <vt:lpstr>Sheet1</vt:lpstr>
      <vt:lpstr>PAT(Proj)</vt:lpstr>
      <vt:lpstr>Assumptions</vt:lpstr>
      <vt:lpstr>CMA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Jaiswal</dc:creator>
  <cp:lastModifiedBy>Rohit Bhargava</cp:lastModifiedBy>
  <cp:lastPrinted>2025-06-30T07:53:42Z</cp:lastPrinted>
  <dcterms:created xsi:type="dcterms:W3CDTF">2025-06-16T09:59:36Z</dcterms:created>
  <dcterms:modified xsi:type="dcterms:W3CDTF">2025-07-25T15:49:36Z</dcterms:modified>
</cp:coreProperties>
</file>